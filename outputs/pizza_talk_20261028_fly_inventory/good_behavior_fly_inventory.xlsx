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4613a6e78e43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y overview" sheetId="1" r:id="R7a4a6c3110b545db"/>
    <x:sheet xmlns:r="http://schemas.openxmlformats.org/officeDocument/2006/relationships" name="Trial records" sheetId="2" r:id="R4b7cd870d96142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yy"/>
  </x:numFmts>
  <x:fonts count="6">
    <x:font>
      <x:sz val="11"/>
      <x:name val="Carlito"/>
    </x:font>
    <x:font>
      <x:b/>
      <x:sz val="14"/>
      <x:color rgb="FF24374A"/>
      <x:name val="Arial"/>
    </x:font>
    <x:font>
      <x:i/>
      <x:sz val="10"/>
      <x:color rgb="FF52616F"/>
      <x:name val="Arial"/>
    </x:font>
    <x:font>
      <x:sz val="10"/>
      <x:color rgb="FF233342"/>
      <x:name val="Arial"/>
    </x:font>
    <x:font>
      <x:b/>
      <x:sz val="10"/>
      <x:color rgb="FFFFFFFF"/>
      <x:name val="Arial"/>
    </x:font>
    <x:font>
      <x:sz val="10"/>
      <x:color rgb="FF52616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1465A"/>
      </x:patternFill>
    </x:fill>
    <x:fill>
      <x:patternFill patternType="solid">
        <x:fgColor rgb="FF526579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5">
    <x:dxf>
      <x:font>
        <x:color rgb="FF234F3D"/>
      </x:font>
      <x:fill>
        <x:patternFill patternType="solid">
          <x:bgColor rgb="FFE8F0EC"/>
        </x:patternFill>
      </x:fill>
    </x:dxf>
    <x:dxf>
      <x:font>
        <x:b/>
        <x:color rgb="FF92392F"/>
      </x:font>
      <x:fill>
        <x:patternFill patternType="solid">
          <x:bgColor rgb="FFF8E4E2"/>
        </x:patternFill>
      </x:fill>
    </x:dxf>
    <x:dxf>
      <x:font>
        <x:color rgb="FF755416"/>
      </x:font>
      <x:fill>
        <x:patternFill patternType="solid">
          <x:bgColor rgb="FFFFF0CF"/>
        </x:patternFill>
      </x:fill>
    </x:dxf>
    <x:dxf>
      <x:font>
        <x:color rgb="FF92392F"/>
      </x:font>
      <x:fill>
        <x:patternFill patternType="solid">
          <x:bgColor rgb="FFF8E4E2"/>
        </x:patternFill>
      </x:fill>
    </x:dxf>
    <x:dxf>
      <x:font>
        <x:color rgb="FF755416"/>
      </x:font>
      <x:fill>
        <x:patternFill patternType="solid">
          <x:bgColor rgb="FFFFF0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4804e7cd124ccb" /><Relationship Type="http://schemas.openxmlformats.org/officeDocument/2006/relationships/theme" Target="/xl/theme/theme1.xml" Id="Rbcb6278550734efe" /><Relationship Type="http://schemas.openxmlformats.org/officeDocument/2006/relationships/sharedStrings" Target="/xl/sharedStrings.xml" Id="Rf56a74f58b744588" /><Relationship Type="http://schemas.openxmlformats.org/officeDocument/2006/relationships/worksheet" Target="/xl/worksheets/sheet1.xml" Id="R7a4a6c3110b545db" /><Relationship Type="http://schemas.openxmlformats.org/officeDocument/2006/relationships/worksheet" Target="/xl/worksheets/sheet2.xml" Id="R4b7cd870d9614208" /></Relationships>
</file>

<file path=xl/tables/table1.xml><?xml version="1.0" encoding="utf-8"?>
<x:table xmlns:x="http://schemas.openxmlformats.org/spreadsheetml/2006/main" id="2" name="FlyOverview" displayName="FlyOverview" ref="A5:L24" headerRowCount="1" totalsRowCount="0" totalsRowShown="0">
  <x:tableColumns count="12">
    <x:tableColumn id="1" name="Fly ID"/>
    <x:tableColumn id="2" name="Date"/>
    <x:tableColumn id="3" name="Dark"/>
    <x:tableColumn id="4" name="CL bar"/>
    <x:tableColumn id="5" name="Bar jumps"/>
    <x:tableColumn id="6" name="Gratings"/>
    <x:tableColumn id="7" name="Heat OL"/>
    <x:tableColumn id="8" name="Heat barrier"/>
    <x:tableColumn id="9" name="Heat pyramid"/>
    <x:tableColumn id="10" name="Heat stripe"/>
    <x:tableColumn id="11" name="Good behavior"/>
    <x:tableColumn id="12" name="Fly ident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rialRecords" displayName="TrialRecords" ref="A1:J53" headerRowCount="1" totalsRowCount="0" totalsRowShown="0">
  <x:tableColumns count="10">
    <x:tableColumn id="1" name="Trial"/>
    <x:tableColumn id="2" name="Cell type"/>
    <x:tableColumn id="3" name="Date"/>
    <x:tableColumn id="4" name="Fly ID"/>
    <x:tableColumn id="5" name="Good behavior"/>
    <x:tableColumn id="6" name="Trial type"/>
    <x:tableColumn id="7" name="Behavior review"/>
    <x:tableColumn id="8" name="Fly identity basis"/>
    <x:tableColumn id="9" name="Selection source"/>
    <x:tableColumn id="10" name="Recording fol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0625ee74474a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ba65316836c4057" /></Relationships>
</file>

<file path=xl/worksheets/sheet1.xml><?xml version="1.0" encoding="utf-8"?>
<x:worksheet xmlns:x="http://schemas.openxmlformats.org/spreadsheetml/2006/main">
  <x:sheetPr>
    <x:tabColor rgb="FF31465A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13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8" hidden="0" customWidth="1"/>
  </x:cols>
  <x:sheetData>
    <x:row r="2">
      <x:c r="A2" s="1" t="str">
        <x:v>Good-behavior imaging inventory</x:v>
      </x:c>
    </x:row>
    <x:row r="3">
      <x:c r="A3" s="2" t="str">
        <x:v>VES041 and SMP544. Y = at least one accepted recording of that type. N = no accepted recording of that type.</x:v>
      </x:c>
    </x:row>
    <x:row r="5" ht="40" customHeight="1">
      <x:c r="A5" s="13" t="str">
        <x:v>Fly ID</x:v>
      </x:c>
      <x:c r="B5" s="14" t="str">
        <x:v>Date</x:v>
      </x:c>
      <x:c r="C5" s="14" t="str">
        <x:v>Dark</x:v>
      </x:c>
      <x:c r="D5" s="14" t="str">
        <x:v>CL bar</x:v>
      </x:c>
      <x:c r="E5" s="14" t="str">
        <x:v>Bar jumps</x:v>
      </x:c>
      <x:c r="F5" s="14" t="str">
        <x:v>Gratings</x:v>
      </x:c>
      <x:c r="G5" s="14" t="str">
        <x:v>Heat OL</x:v>
      </x:c>
      <x:c r="H5" s="14" t="str">
        <x:v>Heat barrier</x:v>
      </x:c>
      <x:c r="I5" s="14" t="str">
        <x:v>Heat pyramid</x:v>
      </x:c>
      <x:c r="J5" s="14" t="str">
        <x:v>Heat stripe</x:v>
      </x:c>
      <x:c r="K5" s="14" t="str">
        <x:v>Good behavior</x:v>
      </x:c>
      <x:c r="L5" s="15" t="str">
        <x:v>Fly identity</x:v>
      </x:c>
    </x:row>
    <x:row r="6" ht="25" customHeight="1">
      <x:c r="A6" s="4" t="str">
        <x:v>SMP544_20260720_F2</x:v>
      </x:c>
      <x:c r="B6" s="5" t="d">
        <x:v>2026-07-20T12:00:00.000Z</x:v>
      </x:c>
      <x:c r="C6" s="6" t="str">
        <x:f>IF(COUNTIFS('Trial records'!$D$2:$D$53,$A6,'Trial records'!$E$2:$E$53,"Y",'Trial records'!$F$2:$F$53,C$5)&gt;0,"Y","N")</x:f>
        <x:v>Y</x:v>
      </x:c>
      <x:c r="D6" s="6" t="str">
        <x:f>IF(COUNTIFS('Trial records'!$D$2:$D$53,$A6,'Trial records'!$E$2:$E$53,"Y",'Trial records'!$F$2:$F$53,D$5)&gt;0,"Y","N")</x:f>
        <x:v>N</x:v>
      </x:c>
      <x:c r="E6" s="6" t="str">
        <x:f>IF(COUNTIFS('Trial records'!$D$2:$D$53,$A6,'Trial records'!$E$2:$E$53,"Y",'Trial records'!$F$2:$F$53,E$5)&gt;0,"Y","N")</x:f>
        <x:v>N</x:v>
      </x:c>
      <x:c r="F6" s="6" t="str">
        <x:f>IF(COUNTIFS('Trial records'!$D$2:$D$53,$A6,'Trial records'!$E$2:$E$53,"Y",'Trial records'!$F$2:$F$53,F$5)&gt;0,"Y","N")</x:f>
        <x:v>N</x:v>
      </x:c>
      <x:c r="G6" s="6" t="str">
        <x:f>IF(COUNTIFS('Trial records'!$D$2:$D$53,$A6,'Trial records'!$E$2:$E$53,"Y",'Trial records'!$F$2:$F$53,G$5)&gt;0,"Y","N")</x:f>
        <x:v>N</x:v>
      </x:c>
      <x:c r="H6" s="6" t="str">
        <x:f>IF(COUNTIFS('Trial records'!$D$2:$D$53,$A6,'Trial records'!$E$2:$E$53,"Y",'Trial records'!$F$2:$F$53,H$5)&gt;0,"Y","N")</x:f>
        <x:v>N</x:v>
      </x:c>
      <x:c r="I6" s="6" t="str">
        <x:f>IF(COUNTIFS('Trial records'!$D$2:$D$53,$A6,'Trial records'!$E$2:$E$53,"Y",'Trial records'!$F$2:$F$53,I$5)&gt;0,"Y","N")</x:f>
        <x:v>N</x:v>
      </x:c>
      <x:c r="J6" s="6" t="str">
        <x:f>IF(COUNTIFS('Trial records'!$D$2:$D$53,$A6,'Trial records'!$E$2:$E$53,"Y",'Trial records'!$F$2:$F$53,J$5)&gt;0,"Y","N")</x:f>
        <x:v>N</x:v>
      </x:c>
      <x:c r="K6" s="6" t="str">
        <x:f>IF(COUNTIFS('Trial records'!$D$2:$D$53,$A6,'Trial records'!$E$2:$E$53,"Y")&gt;0,"Y","N")</x:f>
        <x:v>Y</x:v>
      </x:c>
      <x:c r="L6" s="4" t="str">
        <x:v>Explicit</x:v>
      </x:c>
    </x:row>
    <x:row r="7" ht="25" customHeight="1">
      <x:c r="A7" s="4" t="str">
        <x:v>SMP544_20260721_F1</x:v>
      </x:c>
      <x:c r="B7" s="5" t="d">
        <x:v>2026-07-21T12:00:00.000Z</x:v>
      </x:c>
      <x:c r="C7" s="6" t="str">
        <x:f>IF(COUNTIFS('Trial records'!$D$2:$D$53,$A7,'Trial records'!$E$2:$E$53,"Y",'Trial records'!$F$2:$F$53,C$5)&gt;0,"Y","N")</x:f>
        <x:v>N</x:v>
      </x:c>
      <x:c r="D7" s="6" t="str">
        <x:f>IF(COUNTIFS('Trial records'!$D$2:$D$53,$A7,'Trial records'!$E$2:$E$53,"Y",'Trial records'!$F$2:$F$53,D$5)&gt;0,"Y","N")</x:f>
        <x:v>Y</x:v>
      </x:c>
      <x:c r="E7" s="6" t="str">
        <x:f>IF(COUNTIFS('Trial records'!$D$2:$D$53,$A7,'Trial records'!$E$2:$E$53,"Y",'Trial records'!$F$2:$F$53,E$5)&gt;0,"Y","N")</x:f>
        <x:v>N</x:v>
      </x:c>
      <x:c r="F7" s="6" t="str">
        <x:f>IF(COUNTIFS('Trial records'!$D$2:$D$53,$A7,'Trial records'!$E$2:$E$53,"Y",'Trial records'!$F$2:$F$53,F$5)&gt;0,"Y","N")</x:f>
        <x:v>N</x:v>
      </x:c>
      <x:c r="G7" s="6" t="str">
        <x:f>IF(COUNTIFS('Trial records'!$D$2:$D$53,$A7,'Trial records'!$E$2:$E$53,"Y",'Trial records'!$F$2:$F$53,G$5)&gt;0,"Y","N")</x:f>
        <x:v>Y</x:v>
      </x:c>
      <x:c r="H7" s="6" t="str">
        <x:f>IF(COUNTIFS('Trial records'!$D$2:$D$53,$A7,'Trial records'!$E$2:$E$53,"Y",'Trial records'!$F$2:$F$53,H$5)&gt;0,"Y","N")</x:f>
        <x:v>N</x:v>
      </x:c>
      <x:c r="I7" s="6" t="str">
        <x:f>IF(COUNTIFS('Trial records'!$D$2:$D$53,$A7,'Trial records'!$E$2:$E$53,"Y",'Trial records'!$F$2:$F$53,I$5)&gt;0,"Y","N")</x:f>
        <x:v>N</x:v>
      </x:c>
      <x:c r="J7" s="6" t="str">
        <x:f>IF(COUNTIFS('Trial records'!$D$2:$D$53,$A7,'Trial records'!$E$2:$E$53,"Y",'Trial records'!$F$2:$F$53,J$5)&gt;0,"Y","N")</x:f>
        <x:v>N</x:v>
      </x:c>
      <x:c r="K7" s="6" t="str">
        <x:f>IF(COUNTIFS('Trial records'!$D$2:$D$53,$A7,'Trial records'!$E$2:$E$53,"Y")&gt;0,"Y","N")</x:f>
        <x:v>Y</x:v>
      </x:c>
      <x:c r="L7" s="4" t="str">
        <x:v>Explicit</x:v>
      </x:c>
    </x:row>
    <x:row r="8" ht="25" customHeight="1">
      <x:c r="A8" s="4" t="str">
        <x:v>SMP544_20260722_F1</x:v>
      </x:c>
      <x:c r="B8" s="5" t="d">
        <x:v>2026-07-22T12:00:00.000Z</x:v>
      </x:c>
      <x:c r="C8" s="6" t="str">
        <x:f>IF(COUNTIFS('Trial records'!$D$2:$D$53,$A8,'Trial records'!$E$2:$E$53,"Y",'Trial records'!$F$2:$F$53,C$5)&gt;0,"Y","N")</x:f>
        <x:v>N</x:v>
      </x:c>
      <x:c r="D8" s="6" t="str">
        <x:f>IF(COUNTIFS('Trial records'!$D$2:$D$53,$A8,'Trial records'!$E$2:$E$53,"Y",'Trial records'!$F$2:$F$53,D$5)&gt;0,"Y","N")</x:f>
        <x:v>Y</x:v>
      </x:c>
      <x:c r="E8" s="6" t="str">
        <x:f>IF(COUNTIFS('Trial records'!$D$2:$D$53,$A8,'Trial records'!$E$2:$E$53,"Y",'Trial records'!$F$2:$F$53,E$5)&gt;0,"Y","N")</x:f>
        <x:v>N</x:v>
      </x:c>
      <x:c r="F8" s="6" t="str">
        <x:f>IF(COUNTIFS('Trial records'!$D$2:$D$53,$A8,'Trial records'!$E$2:$E$53,"Y",'Trial records'!$F$2:$F$53,F$5)&gt;0,"Y","N")</x:f>
        <x:v>N</x:v>
      </x:c>
      <x:c r="G8" s="6" t="str">
        <x:f>IF(COUNTIFS('Trial records'!$D$2:$D$53,$A8,'Trial records'!$E$2:$E$53,"Y",'Trial records'!$F$2:$F$53,G$5)&gt;0,"Y","N")</x:f>
        <x:v>N</x:v>
      </x:c>
      <x:c r="H8" s="6" t="str">
        <x:f>IF(COUNTIFS('Trial records'!$D$2:$D$53,$A8,'Trial records'!$E$2:$E$53,"Y",'Trial records'!$F$2:$F$53,H$5)&gt;0,"Y","N")</x:f>
        <x:v>N</x:v>
      </x:c>
      <x:c r="I8" s="6" t="str">
        <x:f>IF(COUNTIFS('Trial records'!$D$2:$D$53,$A8,'Trial records'!$E$2:$E$53,"Y",'Trial records'!$F$2:$F$53,I$5)&gt;0,"Y","N")</x:f>
        <x:v>N</x:v>
      </x:c>
      <x:c r="J8" s="6" t="str">
        <x:f>IF(COUNTIFS('Trial records'!$D$2:$D$53,$A8,'Trial records'!$E$2:$E$53,"Y",'Trial records'!$F$2:$F$53,J$5)&gt;0,"Y","N")</x:f>
        <x:v>N</x:v>
      </x:c>
      <x:c r="K8" s="6" t="str">
        <x:f>IF(COUNTIFS('Trial records'!$D$2:$D$53,$A8,'Trial records'!$E$2:$E$53,"Y")&gt;0,"Y","N")</x:f>
        <x:v>Y</x:v>
      </x:c>
      <x:c r="L8" s="4" t="str">
        <x:v>Explicit</x:v>
      </x:c>
    </x:row>
    <x:row r="9" ht="25" customHeight="1">
      <x:c r="A9" s="4" t="str">
        <x:v>VES041_20250812_F3</x:v>
      </x:c>
      <x:c r="B9" s="5" t="d">
        <x:v>2025-08-12T12:00:00.000Z</x:v>
      </x:c>
      <x:c r="C9" s="6" t="str">
        <x:f>IF(COUNTIFS('Trial records'!$D$2:$D$53,$A9,'Trial records'!$E$2:$E$53,"Y",'Trial records'!$F$2:$F$53,C$5)&gt;0,"Y","N")</x:f>
        <x:v>N</x:v>
      </x:c>
      <x:c r="D9" s="6" t="str">
        <x:f>IF(COUNTIFS('Trial records'!$D$2:$D$53,$A9,'Trial records'!$E$2:$E$53,"Y",'Trial records'!$F$2:$F$53,D$5)&gt;0,"Y","N")</x:f>
        <x:v>N</x:v>
      </x:c>
      <x:c r="E9" s="6" t="str">
        <x:f>IF(COUNTIFS('Trial records'!$D$2:$D$53,$A9,'Trial records'!$E$2:$E$53,"Y",'Trial records'!$F$2:$F$53,E$5)&gt;0,"Y","N")</x:f>
        <x:v>Y</x:v>
      </x:c>
      <x:c r="F9" s="6" t="str">
        <x:f>IF(COUNTIFS('Trial records'!$D$2:$D$53,$A9,'Trial records'!$E$2:$E$53,"Y",'Trial records'!$F$2:$F$53,F$5)&gt;0,"Y","N")</x:f>
        <x:v>Y</x:v>
      </x:c>
      <x:c r="G9" s="6" t="str">
        <x:f>IF(COUNTIFS('Trial records'!$D$2:$D$53,$A9,'Trial records'!$E$2:$E$53,"Y",'Trial records'!$F$2:$F$53,G$5)&gt;0,"Y","N")</x:f>
        <x:v>N</x:v>
      </x:c>
      <x:c r="H9" s="6" t="str">
        <x:f>IF(COUNTIFS('Trial records'!$D$2:$D$53,$A9,'Trial records'!$E$2:$E$53,"Y",'Trial records'!$F$2:$F$53,H$5)&gt;0,"Y","N")</x:f>
        <x:v>N</x:v>
      </x:c>
      <x:c r="I9" s="6" t="str">
        <x:f>IF(COUNTIFS('Trial records'!$D$2:$D$53,$A9,'Trial records'!$E$2:$E$53,"Y",'Trial records'!$F$2:$F$53,I$5)&gt;0,"Y","N")</x:f>
        <x:v>N</x:v>
      </x:c>
      <x:c r="J9" s="6" t="str">
        <x:f>IF(COUNTIFS('Trial records'!$D$2:$D$53,$A9,'Trial records'!$E$2:$E$53,"Y",'Trial records'!$F$2:$F$53,J$5)&gt;0,"Y","N")</x:f>
        <x:v>N</x:v>
      </x:c>
      <x:c r="K9" s="6" t="str">
        <x:f>IF(COUNTIFS('Trial records'!$D$2:$D$53,$A9,'Trial records'!$E$2:$E$53,"Y")&gt;0,"Y","N")</x:f>
        <x:v>Y</x:v>
      </x:c>
      <x:c r="L9" s="4" t="str">
        <x:v>Explicit</x:v>
      </x:c>
    </x:row>
    <x:row r="10" ht="25" customHeight="1">
      <x:c r="A10" s="4" t="str">
        <x:v>VES041_20250813_F1</x:v>
      </x:c>
      <x:c r="B10" s="5" t="d">
        <x:v>2025-08-13T12:00:00.000Z</x:v>
      </x:c>
      <x:c r="C10" s="6" t="str">
        <x:f>IF(COUNTIFS('Trial records'!$D$2:$D$53,$A10,'Trial records'!$E$2:$E$53,"Y",'Trial records'!$F$2:$F$53,C$5)&gt;0,"Y","N")</x:f>
        <x:v>N</x:v>
      </x:c>
      <x:c r="D10" s="6" t="str">
        <x:f>IF(COUNTIFS('Trial records'!$D$2:$D$53,$A10,'Trial records'!$E$2:$E$53,"Y",'Trial records'!$F$2:$F$53,D$5)&gt;0,"Y","N")</x:f>
        <x:v>N</x:v>
      </x:c>
      <x:c r="E10" s="6" t="str">
        <x:f>IF(COUNTIFS('Trial records'!$D$2:$D$53,$A10,'Trial records'!$E$2:$E$53,"Y",'Trial records'!$F$2:$F$53,E$5)&gt;0,"Y","N")</x:f>
        <x:v>N</x:v>
      </x:c>
      <x:c r="F10" s="6" t="str">
        <x:f>IF(COUNTIFS('Trial records'!$D$2:$D$53,$A10,'Trial records'!$E$2:$E$53,"Y",'Trial records'!$F$2:$F$53,F$5)&gt;0,"Y","N")</x:f>
        <x:v>Y</x:v>
      </x:c>
      <x:c r="G10" s="6" t="str">
        <x:f>IF(COUNTIFS('Trial records'!$D$2:$D$53,$A10,'Trial records'!$E$2:$E$53,"Y",'Trial records'!$F$2:$F$53,G$5)&gt;0,"Y","N")</x:f>
        <x:v>N</x:v>
      </x:c>
      <x:c r="H10" s="6" t="str">
        <x:f>IF(COUNTIFS('Trial records'!$D$2:$D$53,$A10,'Trial records'!$E$2:$E$53,"Y",'Trial records'!$F$2:$F$53,H$5)&gt;0,"Y","N")</x:f>
        <x:v>N</x:v>
      </x:c>
      <x:c r="I10" s="6" t="str">
        <x:f>IF(COUNTIFS('Trial records'!$D$2:$D$53,$A10,'Trial records'!$E$2:$E$53,"Y",'Trial records'!$F$2:$F$53,I$5)&gt;0,"Y","N")</x:f>
        <x:v>N</x:v>
      </x:c>
      <x:c r="J10" s="6" t="str">
        <x:f>IF(COUNTIFS('Trial records'!$D$2:$D$53,$A10,'Trial records'!$E$2:$E$53,"Y",'Trial records'!$F$2:$F$53,J$5)&gt;0,"Y","N")</x:f>
        <x:v>N</x:v>
      </x:c>
      <x:c r="K10" s="6" t="str">
        <x:f>IF(COUNTIFS('Trial records'!$D$2:$D$53,$A10,'Trial records'!$E$2:$E$53,"Y")&gt;0,"Y","N")</x:f>
        <x:v>Y</x:v>
      </x:c>
      <x:c r="L10" s="4" t="str">
        <x:v>Explicit</x:v>
      </x:c>
    </x:row>
    <x:row r="11" ht="25" customHeight="1">
      <x:c r="A11" s="4" t="str">
        <x:v>VES041_20250819_F1</x:v>
      </x:c>
      <x:c r="B11" s="5" t="d">
        <x:v>2025-08-19T12:00:00.000Z</x:v>
      </x:c>
      <x:c r="C11" s="6" t="str">
        <x:f>IF(COUNTIFS('Trial records'!$D$2:$D$53,$A11,'Trial records'!$E$2:$E$53,"Y",'Trial records'!$F$2:$F$53,C$5)&gt;0,"Y","N")</x:f>
        <x:v>N</x:v>
      </x:c>
      <x:c r="D11" s="6" t="str">
        <x:f>IF(COUNTIFS('Trial records'!$D$2:$D$53,$A11,'Trial records'!$E$2:$E$53,"Y",'Trial records'!$F$2:$F$53,D$5)&gt;0,"Y","N")</x:f>
        <x:v>N</x:v>
      </x:c>
      <x:c r="E11" s="6" t="str">
        <x:f>IF(COUNTIFS('Trial records'!$D$2:$D$53,$A11,'Trial records'!$E$2:$E$53,"Y",'Trial records'!$F$2:$F$53,E$5)&gt;0,"Y","N")</x:f>
        <x:v>N</x:v>
      </x:c>
      <x:c r="F11" s="6" t="str">
        <x:f>IF(COUNTIFS('Trial records'!$D$2:$D$53,$A11,'Trial records'!$E$2:$E$53,"Y",'Trial records'!$F$2:$F$53,F$5)&gt;0,"Y","N")</x:f>
        <x:v>Y</x:v>
      </x:c>
      <x:c r="G11" s="6" t="str">
        <x:f>IF(COUNTIFS('Trial records'!$D$2:$D$53,$A11,'Trial records'!$E$2:$E$53,"Y",'Trial records'!$F$2:$F$53,G$5)&gt;0,"Y","N")</x:f>
        <x:v>N</x:v>
      </x:c>
      <x:c r="H11" s="6" t="str">
        <x:f>IF(COUNTIFS('Trial records'!$D$2:$D$53,$A11,'Trial records'!$E$2:$E$53,"Y",'Trial records'!$F$2:$F$53,H$5)&gt;0,"Y","N")</x:f>
        <x:v>N</x:v>
      </x:c>
      <x:c r="I11" s="6" t="str">
        <x:f>IF(COUNTIFS('Trial records'!$D$2:$D$53,$A11,'Trial records'!$E$2:$E$53,"Y",'Trial records'!$F$2:$F$53,I$5)&gt;0,"Y","N")</x:f>
        <x:v>N</x:v>
      </x:c>
      <x:c r="J11" s="6" t="str">
        <x:f>IF(COUNTIFS('Trial records'!$D$2:$D$53,$A11,'Trial records'!$E$2:$E$53,"Y",'Trial records'!$F$2:$F$53,J$5)&gt;0,"Y","N")</x:f>
        <x:v>N</x:v>
      </x:c>
      <x:c r="K11" s="6" t="str">
        <x:f>IF(COUNTIFS('Trial records'!$D$2:$D$53,$A11,'Trial records'!$E$2:$E$53,"Y")&gt;0,"Y","N")</x:f>
        <x:v>Y</x:v>
      </x:c>
      <x:c r="L11" s="4" t="str">
        <x:v>Explicit</x:v>
      </x:c>
    </x:row>
    <x:row r="12" ht="25" customHeight="1">
      <x:c r="A12" s="4" t="str">
        <x:v>VES041_20251001_F3</x:v>
      </x:c>
      <x:c r="B12" s="5" t="d">
        <x:v>2025-10-01T12:00:00.000Z</x:v>
      </x:c>
      <x:c r="C12" s="6" t="str">
        <x:f>IF(COUNTIFS('Trial records'!$D$2:$D$53,$A12,'Trial records'!$E$2:$E$53,"Y",'Trial records'!$F$2:$F$53,C$5)&gt;0,"Y","N")</x:f>
        <x:v>N</x:v>
      </x:c>
      <x:c r="D12" s="6" t="str">
        <x:f>IF(COUNTIFS('Trial records'!$D$2:$D$53,$A12,'Trial records'!$E$2:$E$53,"Y",'Trial records'!$F$2:$F$53,D$5)&gt;0,"Y","N")</x:f>
        <x:v>N</x:v>
      </x:c>
      <x:c r="E12" s="6" t="str">
        <x:f>IF(COUNTIFS('Trial records'!$D$2:$D$53,$A12,'Trial records'!$E$2:$E$53,"Y",'Trial records'!$F$2:$F$53,E$5)&gt;0,"Y","N")</x:f>
        <x:v>N</x:v>
      </x:c>
      <x:c r="F12" s="6" t="str">
        <x:f>IF(COUNTIFS('Trial records'!$D$2:$D$53,$A12,'Trial records'!$E$2:$E$53,"Y",'Trial records'!$F$2:$F$53,F$5)&gt;0,"Y","N")</x:f>
        <x:v>N</x:v>
      </x:c>
      <x:c r="G12" s="6" t="str">
        <x:f>IF(COUNTIFS('Trial records'!$D$2:$D$53,$A12,'Trial records'!$E$2:$E$53,"Y",'Trial records'!$F$2:$F$53,G$5)&gt;0,"Y","N")</x:f>
        <x:v>N</x:v>
      </x:c>
      <x:c r="H12" s="6" t="str">
        <x:f>IF(COUNTIFS('Trial records'!$D$2:$D$53,$A12,'Trial records'!$E$2:$E$53,"Y",'Trial records'!$F$2:$F$53,H$5)&gt;0,"Y","N")</x:f>
        <x:v>N</x:v>
      </x:c>
      <x:c r="I12" s="6" t="str">
        <x:f>IF(COUNTIFS('Trial records'!$D$2:$D$53,$A12,'Trial records'!$E$2:$E$53,"Y",'Trial records'!$F$2:$F$53,I$5)&gt;0,"Y","N")</x:f>
        <x:v>N</x:v>
      </x:c>
      <x:c r="J12" s="6" t="str">
        <x:f>IF(COUNTIFS('Trial records'!$D$2:$D$53,$A12,'Trial records'!$E$2:$E$53,"Y",'Trial records'!$F$2:$F$53,J$5)&gt;0,"Y","N")</x:f>
        <x:v>N</x:v>
      </x:c>
      <x:c r="K12" s="6" t="str">
        <x:f>IF(COUNTIFS('Trial records'!$D$2:$D$53,$A12,'Trial records'!$E$2:$E$53,"Y")&gt;0,"Y","N")</x:f>
        <x:v>N</x:v>
      </x:c>
      <x:c r="L12" s="4" t="str">
        <x:v>Explicit</x:v>
      </x:c>
    </x:row>
    <x:row r="13" ht="25" customHeight="1">
      <x:c r="A13" s="4" t="str">
        <x:v>VES041_20260213_F1</x:v>
      </x:c>
      <x:c r="B13" s="5" t="d">
        <x:v>2026-02-13T12:00:00.000Z</x:v>
      </x:c>
      <x:c r="C13" s="6" t="str">
        <x:f>IF(COUNTIFS('Trial records'!$D$2:$D$53,$A13,'Trial records'!$E$2:$E$53,"Y",'Trial records'!$F$2:$F$53,C$5)&gt;0,"Y","N")</x:f>
        <x:v>N</x:v>
      </x:c>
      <x:c r="D13" s="6" t="str">
        <x:f>IF(COUNTIFS('Trial records'!$D$2:$D$53,$A13,'Trial records'!$E$2:$E$53,"Y",'Trial records'!$F$2:$F$53,D$5)&gt;0,"Y","N")</x:f>
        <x:v>N</x:v>
      </x:c>
      <x:c r="E13" s="6" t="str">
        <x:f>IF(COUNTIFS('Trial records'!$D$2:$D$53,$A13,'Trial records'!$E$2:$E$53,"Y",'Trial records'!$F$2:$F$53,E$5)&gt;0,"Y","N")</x:f>
        <x:v>N</x:v>
      </x:c>
      <x:c r="F13" s="6" t="str">
        <x:f>IF(COUNTIFS('Trial records'!$D$2:$D$53,$A13,'Trial records'!$E$2:$E$53,"Y",'Trial records'!$F$2:$F$53,F$5)&gt;0,"Y","N")</x:f>
        <x:v>N</x:v>
      </x:c>
      <x:c r="G13" s="6" t="str">
        <x:f>IF(COUNTIFS('Trial records'!$D$2:$D$53,$A13,'Trial records'!$E$2:$E$53,"Y",'Trial records'!$F$2:$F$53,G$5)&gt;0,"Y","N")</x:f>
        <x:v>N</x:v>
      </x:c>
      <x:c r="H13" s="6" t="str">
        <x:f>IF(COUNTIFS('Trial records'!$D$2:$D$53,$A13,'Trial records'!$E$2:$E$53,"Y",'Trial records'!$F$2:$F$53,H$5)&gt;0,"Y","N")</x:f>
        <x:v>N</x:v>
      </x:c>
      <x:c r="I13" s="6" t="str">
        <x:f>IF(COUNTIFS('Trial records'!$D$2:$D$53,$A13,'Trial records'!$E$2:$E$53,"Y",'Trial records'!$F$2:$F$53,I$5)&gt;0,"Y","N")</x:f>
        <x:v>N</x:v>
      </x:c>
      <x:c r="J13" s="6" t="str">
        <x:f>IF(COUNTIFS('Trial records'!$D$2:$D$53,$A13,'Trial records'!$E$2:$E$53,"Y",'Trial records'!$F$2:$F$53,J$5)&gt;0,"Y","N")</x:f>
        <x:v>N</x:v>
      </x:c>
      <x:c r="K13" s="6" t="str">
        <x:f>IF(COUNTIFS('Trial records'!$D$2:$D$53,$A13,'Trial records'!$E$2:$E$53,"Y")&gt;0,"Y","N")</x:f>
        <x:v>N</x:v>
      </x:c>
      <x:c r="L13" s="4" t="str">
        <x:v>Inferred</x:v>
      </x:c>
    </x:row>
    <x:row r="14" ht="25" customHeight="1">
      <x:c r="A14" s="4" t="str">
        <x:v>VES041_20260213_F2</x:v>
      </x:c>
      <x:c r="B14" s="5" t="d">
        <x:v>2026-02-13T12:00:00.000Z</x:v>
      </x:c>
      <x:c r="C14" s="6" t="str">
        <x:f>IF(COUNTIFS('Trial records'!$D$2:$D$53,$A14,'Trial records'!$E$2:$E$53,"Y",'Trial records'!$F$2:$F$53,C$5)&gt;0,"Y","N")</x:f>
        <x:v>N</x:v>
      </x:c>
      <x:c r="D14" s="6" t="str">
        <x:f>IF(COUNTIFS('Trial records'!$D$2:$D$53,$A14,'Trial records'!$E$2:$E$53,"Y",'Trial records'!$F$2:$F$53,D$5)&gt;0,"Y","N")</x:f>
        <x:v>N</x:v>
      </x:c>
      <x:c r="E14" s="6" t="str">
        <x:f>IF(COUNTIFS('Trial records'!$D$2:$D$53,$A14,'Trial records'!$E$2:$E$53,"Y",'Trial records'!$F$2:$F$53,E$5)&gt;0,"Y","N")</x:f>
        <x:v>N</x:v>
      </x:c>
      <x:c r="F14" s="6" t="str">
        <x:f>IF(COUNTIFS('Trial records'!$D$2:$D$53,$A14,'Trial records'!$E$2:$E$53,"Y",'Trial records'!$F$2:$F$53,F$5)&gt;0,"Y","N")</x:f>
        <x:v>N</x:v>
      </x:c>
      <x:c r="G14" s="6" t="str">
        <x:f>IF(COUNTIFS('Trial records'!$D$2:$D$53,$A14,'Trial records'!$E$2:$E$53,"Y",'Trial records'!$F$2:$F$53,G$5)&gt;0,"Y","N")</x:f>
        <x:v>N</x:v>
      </x:c>
      <x:c r="H14" s="6" t="str">
        <x:f>IF(COUNTIFS('Trial records'!$D$2:$D$53,$A14,'Trial records'!$E$2:$E$53,"Y",'Trial records'!$F$2:$F$53,H$5)&gt;0,"Y","N")</x:f>
        <x:v>N</x:v>
      </x:c>
      <x:c r="I14" s="6" t="str">
        <x:f>IF(COUNTIFS('Trial records'!$D$2:$D$53,$A14,'Trial records'!$E$2:$E$53,"Y",'Trial records'!$F$2:$F$53,I$5)&gt;0,"Y","N")</x:f>
        <x:v>N</x:v>
      </x:c>
      <x:c r="J14" s="6" t="str">
        <x:f>IF(COUNTIFS('Trial records'!$D$2:$D$53,$A14,'Trial records'!$E$2:$E$53,"Y",'Trial records'!$F$2:$F$53,J$5)&gt;0,"Y","N")</x:f>
        <x:v>N</x:v>
      </x:c>
      <x:c r="K14" s="6" t="str">
        <x:f>IF(COUNTIFS('Trial records'!$D$2:$D$53,$A14,'Trial records'!$E$2:$E$53,"Y")&gt;0,"Y","N")</x:f>
        <x:v>N</x:v>
      </x:c>
      <x:c r="L14" s="4" t="str">
        <x:v>Explicit</x:v>
      </x:c>
    </x:row>
    <x:row r="15" ht="25" customHeight="1">
      <x:c r="A15" s="4" t="str">
        <x:v>VES041_20260217_F1</x:v>
      </x:c>
      <x:c r="B15" s="5" t="d">
        <x:v>2026-02-17T12:00:00.000Z</x:v>
      </x:c>
      <x:c r="C15" s="6" t="str">
        <x:f>IF(COUNTIFS('Trial records'!$D$2:$D$53,$A15,'Trial records'!$E$2:$E$53,"Y",'Trial records'!$F$2:$F$53,C$5)&gt;0,"Y","N")</x:f>
        <x:v>Y</x:v>
      </x:c>
      <x:c r="D15" s="6" t="str">
        <x:f>IF(COUNTIFS('Trial records'!$D$2:$D$53,$A15,'Trial records'!$E$2:$E$53,"Y",'Trial records'!$F$2:$F$53,D$5)&gt;0,"Y","N")</x:f>
        <x:v>Y</x:v>
      </x:c>
      <x:c r="E15" s="6" t="str">
        <x:f>IF(COUNTIFS('Trial records'!$D$2:$D$53,$A15,'Trial records'!$E$2:$E$53,"Y",'Trial records'!$F$2:$F$53,E$5)&gt;0,"Y","N")</x:f>
        <x:v>N</x:v>
      </x:c>
      <x:c r="F15" s="6" t="str">
        <x:f>IF(COUNTIFS('Trial records'!$D$2:$D$53,$A15,'Trial records'!$E$2:$E$53,"Y",'Trial records'!$F$2:$F$53,F$5)&gt;0,"Y","N")</x:f>
        <x:v>N</x:v>
      </x:c>
      <x:c r="G15" s="6" t="str">
        <x:f>IF(COUNTIFS('Trial records'!$D$2:$D$53,$A15,'Trial records'!$E$2:$E$53,"Y",'Trial records'!$F$2:$F$53,G$5)&gt;0,"Y","N")</x:f>
        <x:v>N</x:v>
      </x:c>
      <x:c r="H15" s="6" t="str">
        <x:f>IF(COUNTIFS('Trial records'!$D$2:$D$53,$A15,'Trial records'!$E$2:$E$53,"Y",'Trial records'!$F$2:$F$53,H$5)&gt;0,"Y","N")</x:f>
        <x:v>N</x:v>
      </x:c>
      <x:c r="I15" s="6" t="str">
        <x:f>IF(COUNTIFS('Trial records'!$D$2:$D$53,$A15,'Trial records'!$E$2:$E$53,"Y",'Trial records'!$F$2:$F$53,I$5)&gt;0,"Y","N")</x:f>
        <x:v>N</x:v>
      </x:c>
      <x:c r="J15" s="6" t="str">
        <x:f>IF(COUNTIFS('Trial records'!$D$2:$D$53,$A15,'Trial records'!$E$2:$E$53,"Y",'Trial records'!$F$2:$F$53,J$5)&gt;0,"Y","N")</x:f>
        <x:v>N</x:v>
      </x:c>
      <x:c r="K15" s="6" t="str">
        <x:f>IF(COUNTIFS('Trial records'!$D$2:$D$53,$A15,'Trial records'!$E$2:$E$53,"Y")&gt;0,"Y","N")</x:f>
        <x:v>Y</x:v>
      </x:c>
      <x:c r="L15" s="4" t="str">
        <x:v>Inferred</x:v>
      </x:c>
    </x:row>
    <x:row r="16" ht="25" customHeight="1">
      <x:c r="A16" s="4" t="str">
        <x:v>VES041_20260311_F1</x:v>
      </x:c>
      <x:c r="B16" s="5" t="d">
        <x:v>2026-03-11T12:00:00.000Z</x:v>
      </x:c>
      <x:c r="C16" s="6" t="str">
        <x:f>IF(COUNTIFS('Trial records'!$D$2:$D$53,$A16,'Trial records'!$E$2:$E$53,"Y",'Trial records'!$F$2:$F$53,C$5)&gt;0,"Y","N")</x:f>
        <x:v>N</x:v>
      </x:c>
      <x:c r="D16" s="6" t="str">
        <x:f>IF(COUNTIFS('Trial records'!$D$2:$D$53,$A16,'Trial records'!$E$2:$E$53,"Y",'Trial records'!$F$2:$F$53,D$5)&gt;0,"Y","N")</x:f>
        <x:v>Y</x:v>
      </x:c>
      <x:c r="E16" s="6" t="str">
        <x:f>IF(COUNTIFS('Trial records'!$D$2:$D$53,$A16,'Trial records'!$E$2:$E$53,"Y",'Trial records'!$F$2:$F$53,E$5)&gt;0,"Y","N")</x:f>
        <x:v>N</x:v>
      </x:c>
      <x:c r="F16" s="6" t="str">
        <x:f>IF(COUNTIFS('Trial records'!$D$2:$D$53,$A16,'Trial records'!$E$2:$E$53,"Y",'Trial records'!$F$2:$F$53,F$5)&gt;0,"Y","N")</x:f>
        <x:v>N</x:v>
      </x:c>
      <x:c r="G16" s="6" t="str">
        <x:f>IF(COUNTIFS('Trial records'!$D$2:$D$53,$A16,'Trial records'!$E$2:$E$53,"Y",'Trial records'!$F$2:$F$53,G$5)&gt;0,"Y","N")</x:f>
        <x:v>N</x:v>
      </x:c>
      <x:c r="H16" s="6" t="str">
        <x:f>IF(COUNTIFS('Trial records'!$D$2:$D$53,$A16,'Trial records'!$E$2:$E$53,"Y",'Trial records'!$F$2:$F$53,H$5)&gt;0,"Y","N")</x:f>
        <x:v>N</x:v>
      </x:c>
      <x:c r="I16" s="6" t="str">
        <x:f>IF(COUNTIFS('Trial records'!$D$2:$D$53,$A16,'Trial records'!$E$2:$E$53,"Y",'Trial records'!$F$2:$F$53,I$5)&gt;0,"Y","N")</x:f>
        <x:v>N</x:v>
      </x:c>
      <x:c r="J16" s="6" t="str">
        <x:f>IF(COUNTIFS('Trial records'!$D$2:$D$53,$A16,'Trial records'!$E$2:$E$53,"Y",'Trial records'!$F$2:$F$53,J$5)&gt;0,"Y","N")</x:f>
        <x:v>N</x:v>
      </x:c>
      <x:c r="K16" s="6" t="str">
        <x:f>IF(COUNTIFS('Trial records'!$D$2:$D$53,$A16,'Trial records'!$E$2:$E$53,"Y")&gt;0,"Y","N")</x:f>
        <x:v>Y</x:v>
      </x:c>
      <x:c r="L16" s="4" t="str">
        <x:v>Inferred</x:v>
      </x:c>
    </x:row>
    <x:row r="17" ht="25" customHeight="1">
      <x:c r="A17" s="4" t="str">
        <x:v>VES041_20260313_F1</x:v>
      </x:c>
      <x:c r="B17" s="5" t="d">
        <x:v>2026-03-13T12:00:00.000Z</x:v>
      </x:c>
      <x:c r="C17" s="6" t="str">
        <x:f>IF(COUNTIFS('Trial records'!$D$2:$D$53,$A17,'Trial records'!$E$2:$E$53,"Y",'Trial records'!$F$2:$F$53,C$5)&gt;0,"Y","N")</x:f>
        <x:v>N</x:v>
      </x:c>
      <x:c r="D17" s="6" t="str">
        <x:f>IF(COUNTIFS('Trial records'!$D$2:$D$53,$A17,'Trial records'!$E$2:$E$53,"Y",'Trial records'!$F$2:$F$53,D$5)&gt;0,"Y","N")</x:f>
        <x:v>Y</x:v>
      </x:c>
      <x:c r="E17" s="6" t="str">
        <x:f>IF(COUNTIFS('Trial records'!$D$2:$D$53,$A17,'Trial records'!$E$2:$E$53,"Y",'Trial records'!$F$2:$F$53,E$5)&gt;0,"Y","N")</x:f>
        <x:v>N</x:v>
      </x:c>
      <x:c r="F17" s="6" t="str">
        <x:f>IF(COUNTIFS('Trial records'!$D$2:$D$53,$A17,'Trial records'!$E$2:$E$53,"Y",'Trial records'!$F$2:$F$53,F$5)&gt;0,"Y","N")</x:f>
        <x:v>N</x:v>
      </x:c>
      <x:c r="G17" s="6" t="str">
        <x:f>IF(COUNTIFS('Trial records'!$D$2:$D$53,$A17,'Trial records'!$E$2:$E$53,"Y",'Trial records'!$F$2:$F$53,G$5)&gt;0,"Y","N")</x:f>
        <x:v>N</x:v>
      </x:c>
      <x:c r="H17" s="6" t="str">
        <x:f>IF(COUNTIFS('Trial records'!$D$2:$D$53,$A17,'Trial records'!$E$2:$E$53,"Y",'Trial records'!$F$2:$F$53,H$5)&gt;0,"Y","N")</x:f>
        <x:v>N</x:v>
      </x:c>
      <x:c r="I17" s="6" t="str">
        <x:f>IF(COUNTIFS('Trial records'!$D$2:$D$53,$A17,'Trial records'!$E$2:$E$53,"Y",'Trial records'!$F$2:$F$53,I$5)&gt;0,"Y","N")</x:f>
        <x:v>N</x:v>
      </x:c>
      <x:c r="J17" s="6" t="str">
        <x:f>IF(COUNTIFS('Trial records'!$D$2:$D$53,$A17,'Trial records'!$E$2:$E$53,"Y",'Trial records'!$F$2:$F$53,J$5)&gt;0,"Y","N")</x:f>
        <x:v>N</x:v>
      </x:c>
      <x:c r="K17" s="6" t="str">
        <x:f>IF(COUNTIFS('Trial records'!$D$2:$D$53,$A17,'Trial records'!$E$2:$E$53,"Y")&gt;0,"Y","N")</x:f>
        <x:v>Y</x:v>
      </x:c>
      <x:c r="L17" s="4" t="str">
        <x:v>Inferred</x:v>
      </x:c>
    </x:row>
    <x:row r="18" ht="25" customHeight="1">
      <x:c r="A18" s="4" t="str">
        <x:v>VES041_20260318_F1</x:v>
      </x:c>
      <x:c r="B18" s="5" t="d">
        <x:v>2026-03-18T12:00:00.000Z</x:v>
      </x:c>
      <x:c r="C18" s="6" t="str">
        <x:f>IF(COUNTIFS('Trial records'!$D$2:$D$53,$A18,'Trial records'!$E$2:$E$53,"Y",'Trial records'!$F$2:$F$53,C$5)&gt;0,"Y","N")</x:f>
        <x:v>N</x:v>
      </x:c>
      <x:c r="D18" s="6" t="str">
        <x:f>IF(COUNTIFS('Trial records'!$D$2:$D$53,$A18,'Trial records'!$E$2:$E$53,"Y",'Trial records'!$F$2:$F$53,D$5)&gt;0,"Y","N")</x:f>
        <x:v>N</x:v>
      </x:c>
      <x:c r="E18" s="6" t="str">
        <x:f>IF(COUNTIFS('Trial records'!$D$2:$D$53,$A18,'Trial records'!$E$2:$E$53,"Y",'Trial records'!$F$2:$F$53,E$5)&gt;0,"Y","N")</x:f>
        <x:v>N</x:v>
      </x:c>
      <x:c r="F18" s="6" t="str">
        <x:f>IF(COUNTIFS('Trial records'!$D$2:$D$53,$A18,'Trial records'!$E$2:$E$53,"Y",'Trial records'!$F$2:$F$53,F$5)&gt;0,"Y","N")</x:f>
        <x:v>N</x:v>
      </x:c>
      <x:c r="G18" s="6" t="str">
        <x:f>IF(COUNTIFS('Trial records'!$D$2:$D$53,$A18,'Trial records'!$E$2:$E$53,"Y",'Trial records'!$F$2:$F$53,G$5)&gt;0,"Y","N")</x:f>
        <x:v>N</x:v>
      </x:c>
      <x:c r="H18" s="6" t="str">
        <x:f>IF(COUNTIFS('Trial records'!$D$2:$D$53,$A18,'Trial records'!$E$2:$E$53,"Y",'Trial records'!$F$2:$F$53,H$5)&gt;0,"Y","N")</x:f>
        <x:v>N</x:v>
      </x:c>
      <x:c r="I18" s="6" t="str">
        <x:f>IF(COUNTIFS('Trial records'!$D$2:$D$53,$A18,'Trial records'!$E$2:$E$53,"Y",'Trial records'!$F$2:$F$53,I$5)&gt;0,"Y","N")</x:f>
        <x:v>N</x:v>
      </x:c>
      <x:c r="J18" s="6" t="str">
        <x:f>IF(COUNTIFS('Trial records'!$D$2:$D$53,$A18,'Trial records'!$E$2:$E$53,"Y",'Trial records'!$F$2:$F$53,J$5)&gt;0,"Y","N")</x:f>
        <x:v>N</x:v>
      </x:c>
      <x:c r="K18" s="6" t="str">
        <x:f>IF(COUNTIFS('Trial records'!$D$2:$D$53,$A18,'Trial records'!$E$2:$E$53,"Y")&gt;0,"Y","N")</x:f>
        <x:v>Y</x:v>
      </x:c>
      <x:c r="L18" s="4" t="str">
        <x:v>Inferred</x:v>
      </x:c>
    </x:row>
    <x:row r="19" ht="25" customHeight="1">
      <x:c r="A19" s="4" t="str">
        <x:v>VES041_20260427_F2</x:v>
      </x:c>
      <x:c r="B19" s="5" t="d">
        <x:v>2026-04-27T12:00:00.000Z</x:v>
      </x:c>
      <x:c r="C19" s="6" t="str">
        <x:f>IF(COUNTIFS('Trial records'!$D$2:$D$53,$A19,'Trial records'!$E$2:$E$53,"Y",'Trial records'!$F$2:$F$53,C$5)&gt;0,"Y","N")</x:f>
        <x:v>N</x:v>
      </x:c>
      <x:c r="D19" s="6" t="str">
        <x:f>IF(COUNTIFS('Trial records'!$D$2:$D$53,$A19,'Trial records'!$E$2:$E$53,"Y",'Trial records'!$F$2:$F$53,D$5)&gt;0,"Y","N")</x:f>
        <x:v>N</x:v>
      </x:c>
      <x:c r="E19" s="6" t="str">
        <x:f>IF(COUNTIFS('Trial records'!$D$2:$D$53,$A19,'Trial records'!$E$2:$E$53,"Y",'Trial records'!$F$2:$F$53,E$5)&gt;0,"Y","N")</x:f>
        <x:v>N</x:v>
      </x:c>
      <x:c r="F19" s="6" t="str">
        <x:f>IF(COUNTIFS('Trial records'!$D$2:$D$53,$A19,'Trial records'!$E$2:$E$53,"Y",'Trial records'!$F$2:$F$53,F$5)&gt;0,"Y","N")</x:f>
        <x:v>N</x:v>
      </x:c>
      <x:c r="G19" s="6" t="str">
        <x:f>IF(COUNTIFS('Trial records'!$D$2:$D$53,$A19,'Trial records'!$E$2:$E$53,"Y",'Trial records'!$F$2:$F$53,G$5)&gt;0,"Y","N")</x:f>
        <x:v>N</x:v>
      </x:c>
      <x:c r="H19" s="6" t="str">
        <x:f>IF(COUNTIFS('Trial records'!$D$2:$D$53,$A19,'Trial records'!$E$2:$E$53,"Y",'Trial records'!$F$2:$F$53,H$5)&gt;0,"Y","N")</x:f>
        <x:v>Y</x:v>
      </x:c>
      <x:c r="I19" s="6" t="str">
        <x:f>IF(COUNTIFS('Trial records'!$D$2:$D$53,$A19,'Trial records'!$E$2:$E$53,"Y",'Trial records'!$F$2:$F$53,I$5)&gt;0,"Y","N")</x:f>
        <x:v>N</x:v>
      </x:c>
      <x:c r="J19" s="6" t="str">
        <x:f>IF(COUNTIFS('Trial records'!$D$2:$D$53,$A19,'Trial records'!$E$2:$E$53,"Y",'Trial records'!$F$2:$F$53,J$5)&gt;0,"Y","N")</x:f>
        <x:v>N</x:v>
      </x:c>
      <x:c r="K19" s="6" t="str">
        <x:f>IF(COUNTIFS('Trial records'!$D$2:$D$53,$A19,'Trial records'!$E$2:$E$53,"Y")&gt;0,"Y","N")</x:f>
        <x:v>Y</x:v>
      </x:c>
      <x:c r="L19" s="4" t="str">
        <x:v>Explicit</x:v>
      </x:c>
    </x:row>
    <x:row r="20" ht="25" customHeight="1">
      <x:c r="A20" s="4" t="str">
        <x:v>VES041_20260427_F3</x:v>
      </x:c>
      <x:c r="B20" s="5" t="d">
        <x:v>2026-04-27T12:00:00.000Z</x:v>
      </x:c>
      <x:c r="C20" s="6" t="str">
        <x:f>IF(COUNTIFS('Trial records'!$D$2:$D$53,$A20,'Trial records'!$E$2:$E$53,"Y",'Trial records'!$F$2:$F$53,C$5)&gt;0,"Y","N")</x:f>
        <x:v>N</x:v>
      </x:c>
      <x:c r="D20" s="6" t="str">
        <x:f>IF(COUNTIFS('Trial records'!$D$2:$D$53,$A20,'Trial records'!$E$2:$E$53,"Y",'Trial records'!$F$2:$F$53,D$5)&gt;0,"Y","N")</x:f>
        <x:v>N</x:v>
      </x:c>
      <x:c r="E20" s="6" t="str">
        <x:f>IF(COUNTIFS('Trial records'!$D$2:$D$53,$A20,'Trial records'!$E$2:$E$53,"Y",'Trial records'!$F$2:$F$53,E$5)&gt;0,"Y","N")</x:f>
        <x:v>N</x:v>
      </x:c>
      <x:c r="F20" s="6" t="str">
        <x:f>IF(COUNTIFS('Trial records'!$D$2:$D$53,$A20,'Trial records'!$E$2:$E$53,"Y",'Trial records'!$F$2:$F$53,F$5)&gt;0,"Y","N")</x:f>
        <x:v>N</x:v>
      </x:c>
      <x:c r="G20" s="6" t="str">
        <x:f>IF(COUNTIFS('Trial records'!$D$2:$D$53,$A20,'Trial records'!$E$2:$E$53,"Y",'Trial records'!$F$2:$F$53,G$5)&gt;0,"Y","N")</x:f>
        <x:v>N</x:v>
      </x:c>
      <x:c r="H20" s="6" t="str">
        <x:f>IF(COUNTIFS('Trial records'!$D$2:$D$53,$A20,'Trial records'!$E$2:$E$53,"Y",'Trial records'!$F$2:$F$53,H$5)&gt;0,"Y","N")</x:f>
        <x:v>Y</x:v>
      </x:c>
      <x:c r="I20" s="6" t="str">
        <x:f>IF(COUNTIFS('Trial records'!$D$2:$D$53,$A20,'Trial records'!$E$2:$E$53,"Y",'Trial records'!$F$2:$F$53,I$5)&gt;0,"Y","N")</x:f>
        <x:v>N</x:v>
      </x:c>
      <x:c r="J20" s="6" t="str">
        <x:f>IF(COUNTIFS('Trial records'!$D$2:$D$53,$A20,'Trial records'!$E$2:$E$53,"Y",'Trial records'!$F$2:$F$53,J$5)&gt;0,"Y","N")</x:f>
        <x:v>N</x:v>
      </x:c>
      <x:c r="K20" s="6" t="str">
        <x:f>IF(COUNTIFS('Trial records'!$D$2:$D$53,$A20,'Trial records'!$E$2:$E$53,"Y")&gt;0,"Y","N")</x:f>
        <x:v>Y</x:v>
      </x:c>
      <x:c r="L20" s="4" t="str">
        <x:v>Explicit</x:v>
      </x:c>
    </x:row>
    <x:row r="21" ht="25" customHeight="1">
      <x:c r="A21" s="4" t="str">
        <x:v>VES041_20261019_F1</x:v>
      </x:c>
      <x:c r="B21" s="5" t="d">
        <x:v>2026-10-19T12:00:00.000Z</x:v>
      </x:c>
      <x:c r="C21" s="6" t="str">
        <x:f>IF(COUNTIFS('Trial records'!$D$2:$D$53,$A21,'Trial records'!$E$2:$E$53,"Y",'Trial records'!$F$2:$F$53,C$5)&gt;0,"Y","N")</x:f>
        <x:v>N</x:v>
      </x:c>
      <x:c r="D21" s="6" t="str">
        <x:f>IF(COUNTIFS('Trial records'!$D$2:$D$53,$A21,'Trial records'!$E$2:$E$53,"Y",'Trial records'!$F$2:$F$53,D$5)&gt;0,"Y","N")</x:f>
        <x:v>N</x:v>
      </x:c>
      <x:c r="E21" s="6" t="str">
        <x:f>IF(COUNTIFS('Trial records'!$D$2:$D$53,$A21,'Trial records'!$E$2:$E$53,"Y",'Trial records'!$F$2:$F$53,E$5)&gt;0,"Y","N")</x:f>
        <x:v>Y</x:v>
      </x:c>
      <x:c r="F21" s="6" t="str">
        <x:f>IF(COUNTIFS('Trial records'!$D$2:$D$53,$A21,'Trial records'!$E$2:$E$53,"Y",'Trial records'!$F$2:$F$53,F$5)&gt;0,"Y","N")</x:f>
        <x:v>N</x:v>
      </x:c>
      <x:c r="G21" s="6" t="str">
        <x:f>IF(COUNTIFS('Trial records'!$D$2:$D$53,$A21,'Trial records'!$E$2:$E$53,"Y",'Trial records'!$F$2:$F$53,G$5)&gt;0,"Y","N")</x:f>
        <x:v>N</x:v>
      </x:c>
      <x:c r="H21" s="6" t="str">
        <x:f>IF(COUNTIFS('Trial records'!$D$2:$D$53,$A21,'Trial records'!$E$2:$E$53,"Y",'Trial records'!$F$2:$F$53,H$5)&gt;0,"Y","N")</x:f>
        <x:v>Y</x:v>
      </x:c>
      <x:c r="I21" s="6" t="str">
        <x:f>IF(COUNTIFS('Trial records'!$D$2:$D$53,$A21,'Trial records'!$E$2:$E$53,"Y",'Trial records'!$F$2:$F$53,I$5)&gt;0,"Y","N")</x:f>
        <x:v>N</x:v>
      </x:c>
      <x:c r="J21" s="6" t="str">
        <x:f>IF(COUNTIFS('Trial records'!$D$2:$D$53,$A21,'Trial records'!$E$2:$E$53,"Y",'Trial records'!$F$2:$F$53,J$5)&gt;0,"Y","N")</x:f>
        <x:v>Y</x:v>
      </x:c>
      <x:c r="K21" s="6" t="str">
        <x:f>IF(COUNTIFS('Trial records'!$D$2:$D$53,$A21,'Trial records'!$E$2:$E$53,"Y")&gt;0,"Y","N")</x:f>
        <x:v>Y</x:v>
      </x:c>
      <x:c r="L21" s="4" t="str">
        <x:v>User confirmed</x:v>
      </x:c>
    </x:row>
    <x:row r="22" ht="25" customHeight="1">
      <x:c r="A22" s="4" t="str">
        <x:v>VES041_20261020_F1</x:v>
      </x:c>
      <x:c r="B22" s="5" t="d">
        <x:v>2026-10-20T12:00:00.000Z</x:v>
      </x:c>
      <x:c r="C22" s="6" t="str">
        <x:f>IF(COUNTIFS('Trial records'!$D$2:$D$53,$A22,'Trial records'!$E$2:$E$53,"Y",'Trial records'!$F$2:$F$53,C$5)&gt;0,"Y","N")</x:f>
        <x:v>Y</x:v>
      </x:c>
      <x:c r="D22" s="6" t="str">
        <x:f>IF(COUNTIFS('Trial records'!$D$2:$D$53,$A22,'Trial records'!$E$2:$E$53,"Y",'Trial records'!$F$2:$F$53,D$5)&gt;0,"Y","N")</x:f>
        <x:v>N</x:v>
      </x:c>
      <x:c r="E22" s="6" t="str">
        <x:f>IF(COUNTIFS('Trial records'!$D$2:$D$53,$A22,'Trial records'!$E$2:$E$53,"Y",'Trial records'!$F$2:$F$53,E$5)&gt;0,"Y","N")</x:f>
        <x:v>Y</x:v>
      </x:c>
      <x:c r="F22" s="6" t="str">
        <x:f>IF(COUNTIFS('Trial records'!$D$2:$D$53,$A22,'Trial records'!$E$2:$E$53,"Y",'Trial records'!$F$2:$F$53,F$5)&gt;0,"Y","N")</x:f>
        <x:v>N</x:v>
      </x:c>
      <x:c r="G22" s="6" t="str">
        <x:f>IF(COUNTIFS('Trial records'!$D$2:$D$53,$A22,'Trial records'!$E$2:$E$53,"Y",'Trial records'!$F$2:$F$53,G$5)&gt;0,"Y","N")</x:f>
        <x:v>N</x:v>
      </x:c>
      <x:c r="H22" s="6" t="str">
        <x:f>IF(COUNTIFS('Trial records'!$D$2:$D$53,$A22,'Trial records'!$E$2:$E$53,"Y",'Trial records'!$F$2:$F$53,H$5)&gt;0,"Y","N")</x:f>
        <x:v>Y</x:v>
      </x:c>
      <x:c r="I22" s="6" t="str">
        <x:f>IF(COUNTIFS('Trial records'!$D$2:$D$53,$A22,'Trial records'!$E$2:$E$53,"Y",'Trial records'!$F$2:$F$53,I$5)&gt;0,"Y","N")</x:f>
        <x:v>N</x:v>
      </x:c>
      <x:c r="J22" s="6" t="str">
        <x:f>IF(COUNTIFS('Trial records'!$D$2:$D$53,$A22,'Trial records'!$E$2:$E$53,"Y",'Trial records'!$F$2:$F$53,J$5)&gt;0,"Y","N")</x:f>
        <x:v>Y</x:v>
      </x:c>
      <x:c r="K22" s="6" t="str">
        <x:f>IF(COUNTIFS('Trial records'!$D$2:$D$53,$A22,'Trial records'!$E$2:$E$53,"Y")&gt;0,"Y","N")</x:f>
        <x:v>Y</x:v>
      </x:c>
      <x:c r="L22" s="4" t="str">
        <x:v>User confirmed</x:v>
      </x:c>
    </x:row>
    <x:row r="23" ht="25" customHeight="1">
      <x:c r="A23" s="4" t="str">
        <x:v>VES041_20261020_F2</x:v>
      </x:c>
      <x:c r="B23" s="5" t="d">
        <x:v>2026-10-20T12:00:00.000Z</x:v>
      </x:c>
      <x:c r="C23" s="6" t="str">
        <x:f>IF(COUNTIFS('Trial records'!$D$2:$D$53,$A23,'Trial records'!$E$2:$E$53,"Y",'Trial records'!$F$2:$F$53,C$5)&gt;0,"Y","N")</x:f>
        <x:v>Y</x:v>
      </x:c>
      <x:c r="D23" s="6" t="str">
        <x:f>IF(COUNTIFS('Trial records'!$D$2:$D$53,$A23,'Trial records'!$E$2:$E$53,"Y",'Trial records'!$F$2:$F$53,D$5)&gt;0,"Y","N")</x:f>
        <x:v>N</x:v>
      </x:c>
      <x:c r="E23" s="6" t="str">
        <x:f>IF(COUNTIFS('Trial records'!$D$2:$D$53,$A23,'Trial records'!$E$2:$E$53,"Y",'Trial records'!$F$2:$F$53,E$5)&gt;0,"Y","N")</x:f>
        <x:v>N</x:v>
      </x:c>
      <x:c r="F23" s="6" t="str">
        <x:f>IF(COUNTIFS('Trial records'!$D$2:$D$53,$A23,'Trial records'!$E$2:$E$53,"Y",'Trial records'!$F$2:$F$53,F$5)&gt;0,"Y","N")</x:f>
        <x:v>N</x:v>
      </x:c>
      <x:c r="G23" s="6" t="str">
        <x:f>IF(COUNTIFS('Trial records'!$D$2:$D$53,$A23,'Trial records'!$E$2:$E$53,"Y",'Trial records'!$F$2:$F$53,G$5)&gt;0,"Y","N")</x:f>
        <x:v>N</x:v>
      </x:c>
      <x:c r="H23" s="6" t="str">
        <x:f>IF(COUNTIFS('Trial records'!$D$2:$D$53,$A23,'Trial records'!$E$2:$E$53,"Y",'Trial records'!$F$2:$F$53,H$5)&gt;0,"Y","N")</x:f>
        <x:v>Y</x:v>
      </x:c>
      <x:c r="I23" s="6" t="str">
        <x:f>IF(COUNTIFS('Trial records'!$D$2:$D$53,$A23,'Trial records'!$E$2:$E$53,"Y",'Trial records'!$F$2:$F$53,I$5)&gt;0,"Y","N")</x:f>
        <x:v>N</x:v>
      </x:c>
      <x:c r="J23" s="6" t="str">
        <x:f>IF(COUNTIFS('Trial records'!$D$2:$D$53,$A23,'Trial records'!$E$2:$E$53,"Y",'Trial records'!$F$2:$F$53,J$5)&gt;0,"Y","N")</x:f>
        <x:v>Y</x:v>
      </x:c>
      <x:c r="K23" s="6" t="str">
        <x:f>IF(COUNTIFS('Trial records'!$D$2:$D$53,$A23,'Trial records'!$E$2:$E$53,"Y")&gt;0,"Y","N")</x:f>
        <x:v>Y</x:v>
      </x:c>
      <x:c r="L23" s="4" t="str">
        <x:v>User confirmed</x:v>
      </x:c>
    </x:row>
    <x:row r="24" ht="25" customHeight="1">
      <x:c r="A24" s="4" t="str">
        <x:v>VES041_20261024_F1</x:v>
      </x:c>
      <x:c r="B24" s="5" t="d">
        <x:v>2026-10-24T12:00:00.000Z</x:v>
      </x:c>
      <x:c r="C24" s="6" t="str">
        <x:f>IF(COUNTIFS('Trial records'!$D$2:$D$53,$A24,'Trial records'!$E$2:$E$53,"Y",'Trial records'!$F$2:$F$53,C$5)&gt;0,"Y","N")</x:f>
        <x:v>N</x:v>
      </x:c>
      <x:c r="D24" s="6" t="str">
        <x:f>IF(COUNTIFS('Trial records'!$D$2:$D$53,$A24,'Trial records'!$E$2:$E$53,"Y",'Trial records'!$F$2:$F$53,D$5)&gt;0,"Y","N")</x:f>
        <x:v>N</x:v>
      </x:c>
      <x:c r="E24" s="6" t="str">
        <x:f>IF(COUNTIFS('Trial records'!$D$2:$D$53,$A24,'Trial records'!$E$2:$E$53,"Y",'Trial records'!$F$2:$F$53,E$5)&gt;0,"Y","N")</x:f>
        <x:v>Y</x:v>
      </x:c>
      <x:c r="F24" s="6" t="str">
        <x:f>IF(COUNTIFS('Trial records'!$D$2:$D$53,$A24,'Trial records'!$E$2:$E$53,"Y",'Trial records'!$F$2:$F$53,F$5)&gt;0,"Y","N")</x:f>
        <x:v>N</x:v>
      </x:c>
      <x:c r="G24" s="6" t="str">
        <x:f>IF(COUNTIFS('Trial records'!$D$2:$D$53,$A24,'Trial records'!$E$2:$E$53,"Y",'Trial records'!$F$2:$F$53,G$5)&gt;0,"Y","N")</x:f>
        <x:v>N</x:v>
      </x:c>
      <x:c r="H24" s="6" t="str">
        <x:f>IF(COUNTIFS('Trial records'!$D$2:$D$53,$A24,'Trial records'!$E$2:$E$53,"Y",'Trial records'!$F$2:$F$53,H$5)&gt;0,"Y","N")</x:f>
        <x:v>Y</x:v>
      </x:c>
      <x:c r="I24" s="6" t="str">
        <x:f>IF(COUNTIFS('Trial records'!$D$2:$D$53,$A24,'Trial records'!$E$2:$E$53,"Y",'Trial records'!$F$2:$F$53,I$5)&gt;0,"Y","N")</x:f>
        <x:v>Y</x:v>
      </x:c>
      <x:c r="J24" s="6" t="str">
        <x:f>IF(COUNTIFS('Trial records'!$D$2:$D$53,$A24,'Trial records'!$E$2:$E$53,"Y",'Trial records'!$F$2:$F$53,J$5)&gt;0,"Y","N")</x:f>
        <x:v>Y</x:v>
      </x:c>
      <x:c r="K24" s="6" t="str">
        <x:f>IF(COUNTIFS('Trial records'!$D$2:$D$53,$A24,'Trial records'!$E$2:$E$53,"Y")&gt;0,"Y","N")</x:f>
        <x:v>Y</x:v>
      </x:c>
      <x:c r="L24" s="4" t="str">
        <x:v>User confirmed</x:v>
      </x:c>
    </x:row>
    <x:row r="27">
      <x:c r="A27" s="24" t="str">
        <x:v>CL bar means a separate non-jump bar trial. Bar-jump and heat trials do not automatically count as CL bar.</x:v>
      </x:c>
    </x:row>
    <x:row r="28">
      <x:c r="A28" s="24" t="str">
        <x:v>Rejected trials: 2025-10-01, both 2026-02-13 recordings, and 20261020_3_1 are N in Trial records.</x:v>
      </x:c>
    </x:row>
    <x:row r="29">
      <x:c r="A29" s="24" t="str">
        <x:v>October 20 VES041 fly 2 retains accepted dark/heat trials; its rejected bar-jump trial contributes no Y flag.</x:v>
      </x:c>
    </x:row>
    <x:row r="30">
      <x:c r="A30" s="24" t="str">
        <x:v>Five processed SMP544 recordings from October 26 are Unreviewed and do not contribute to the fly overview.</x:v>
      </x:c>
    </x:row>
    <x:row r="31">
      <x:c r="A31" s="24" t="str">
        <x:v>Odor is retained in Trial records. A fly with only accepted odor recordings can have Good behavior = Y and all listed conditions = N.</x:v>
      </x:c>
    </x:row>
    <x:row r="32">
      <x:c r="A32" s="24" t="str">
        <x:v>Fly IDs include date and cell type. Unnumbered historical preparations remain inferred; October VES041 grouping follows user confirmation.</x:v>
      </x:c>
    </x:row>
  </x:sheetData>
  <x:conditionalFormatting sqref="C6:K24">
    <x:cfRule type="cellIs" dxfId="0" priority="1" operator="equal">
      <x:formula>"Y"</x:formula>
    </x:cfRule>
  </x:conditionalFormatting>
  <x:conditionalFormatting sqref="K6:K24">
    <x:cfRule type="cellIs" dxfId="1" priority="2" operator="equal">
      <x:formula>"N"</x:formula>
    </x:cfRule>
  </x:conditionalFormatting>
  <x:conditionalFormatting sqref="L6:L24">
    <x:cfRule type="cellIs" dxfId="2" priority="3" operator="equal">
      <x:formula>"Inferred"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10625ee74474aa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7" hidden="0" customWidth="1"/>
    <x:col min="2" max="2" width="12" hidden="0" customWidth="1"/>
    <x:col min="3" max="3" width="13" hidden="0" customWidth="1"/>
    <x:col min="4" max="4" width="31" hidden="0" customWidth="1"/>
    <x:col min="5" max="5" width="15" hidden="0" customWidth="1"/>
    <x:col min="6" max="6" width="18" hidden="0" customWidth="1"/>
    <x:col min="7" max="7" width="52" hidden="0" customWidth="1"/>
    <x:col min="8" max="8" width="58" hidden="0" customWidth="1"/>
    <x:col min="9" max="9" width="64" hidden="0" customWidth="1"/>
    <x:col min="10" max="10" width="64" hidden="0" customWidth="1"/>
  </x:cols>
  <x:sheetData>
    <x:row r="1" ht="30" customHeight="1">
      <x:c r="A1" s="20" t="str">
        <x:v>Trial</x:v>
      </x:c>
      <x:c r="B1" s="21" t="str">
        <x:v>Cell type</x:v>
      </x:c>
      <x:c r="C1" s="21" t="str">
        <x:v>Date</x:v>
      </x:c>
      <x:c r="D1" s="21" t="str">
        <x:v>Fly ID</x:v>
      </x:c>
      <x:c r="E1" s="21" t="str">
        <x:v>Good behavior</x:v>
      </x:c>
      <x:c r="F1" s="21" t="str">
        <x:v>Trial type</x:v>
      </x:c>
      <x:c r="G1" s="21" t="str">
        <x:v>Behavior review</x:v>
      </x:c>
      <x:c r="H1" s="21" t="str">
        <x:v>Fly identity basis</x:v>
      </x:c>
      <x:c r="I1" s="21" t="str">
        <x:v>Selection source</x:v>
      </x:c>
      <x:c r="J1" s="22" t="str">
        <x:v>Recording folder</x:v>
      </x:c>
    </x:row>
    <x:row r="2" ht="70" customHeight="1">
      <x:c r="A2" s="16" t="str">
        <x:v>20260720-3_smp544_fly2_dark</x:v>
      </x:c>
      <x:c r="B2" s="4" t="str">
        <x:v>SMP544</x:v>
      </x:c>
      <x:c r="C2" s="5" t="d">
        <x:v>2026-07-20T12:00:00.000Z</x:v>
      </x:c>
      <x:c r="D2" s="4" t="str">
        <x:v>SMP544_20260720_F2</x:v>
      </x:c>
      <x:c r="E2" s="4" t="str">
        <x:v>Y</x:v>
      </x:c>
      <x:c r="F2" s="4" t="str">
        <x:v>Dark</x:v>
      </x:c>
      <x:c r="G2" s="16" t="str">
        <x:v>Previously behavior-screened: sustained, varied walking</x:v>
      </x:c>
      <x:c r="H2" s="16" t="str">
        <x:v>Explicit fly number in recording folder</x:v>
      </x:c>
      <x:c r="I2" s="16" t="str">
        <x:v>/Users/sophiarenauld/Documents/GitHub/Wilson_Thesis/Imaging_analysis/compare_smp544_ves041_reorientation.m</x:v>
      </x:c>
      <x:c r="J2" s="16" t="str">
        <x:v>/Users/sophiarenauld/stacks/20260720-3_smp544_fly2_dark</x:v>
      </x:c>
    </x:row>
    <x:row r="3" ht="70" customHeight="1">
      <x:c r="A3" s="16" t="str">
        <x:v>20260720-4_smp544_fly2_dark2_volume</x:v>
      </x:c>
      <x:c r="B3" s="4" t="str">
        <x:v>SMP544</x:v>
      </x:c>
      <x:c r="C3" s="5" t="d">
        <x:v>2026-07-20T12:00:00.000Z</x:v>
      </x:c>
      <x:c r="D3" s="4" t="str">
        <x:v>SMP544_20260720_F2</x:v>
      </x:c>
      <x:c r="E3" s="4" t="str">
        <x:v>Y</x:v>
      </x:c>
      <x:c r="F3" s="4" t="str">
        <x:v>Dark</x:v>
      </x:c>
      <x:c r="G3" s="16" t="str">
        <x:v>Previously behavior-screened: sustained, varied walking</x:v>
      </x:c>
      <x:c r="H3" s="16" t="str">
        <x:v>Explicit fly number in recording folder</x:v>
      </x:c>
      <x:c r="I3" s="16" t="str">
        <x:v>/Users/sophiarenauld/Documents/GitHub/Wilson_Thesis/Imaging_analysis/compare_smp544_ves041_reorientation.m</x:v>
      </x:c>
      <x:c r="J3" s="16" t="str">
        <x:v>/Users/sophiarenauld/stacks/20260720-4_smp544_fly2_dark2_volume</x:v>
      </x:c>
    </x:row>
    <x:row r="4" ht="70" customHeight="1">
      <x:c r="A4" s="16" t="str">
        <x:v>20260721-2_smp544_fly1_clbar</x:v>
      </x:c>
      <x:c r="B4" s="4" t="str">
        <x:v>SMP544</x:v>
      </x:c>
      <x:c r="C4" s="5" t="d">
        <x:v>2026-07-21T12:00:00.000Z</x:v>
      </x:c>
      <x:c r="D4" s="4" t="str">
        <x:v>SMP544_20260721_F1</x:v>
      </x:c>
      <x:c r="E4" s="4" t="str">
        <x:v>Y</x:v>
      </x:c>
      <x:c r="F4" s="4" t="str">
        <x:v>CL bar</x:v>
      </x:c>
      <x:c r="G4" s="16" t="str">
        <x:v>Previously behavior-screened: sustained, varied walking</x:v>
      </x:c>
      <x:c r="H4" s="16" t="str">
        <x:v>Explicit fly number in recording folder</x:v>
      </x:c>
      <x:c r="I4" s="16" t="str">
        <x:v>/Users/sophiarenauld/Documents/GitHub/Wilson_Thesis/Imaging_analysis/compare_smp544_ves041_reorientation.m</x:v>
      </x:c>
      <x:c r="J4" s="16" t="str">
        <x:v>/Users/sophiarenauld/stacks/20260721-2_smp544_fly1_clbar</x:v>
      </x:c>
    </x:row>
    <x:row r="5" ht="70" customHeight="1">
      <x:c r="A5" s="16" t="str">
        <x:v>20260721-3_smp544_fly1_clbar</x:v>
      </x:c>
      <x:c r="B5" s="4" t="str">
        <x:v>SMP544</x:v>
      </x:c>
      <x:c r="C5" s="5" t="d">
        <x:v>2026-07-21T12:00:00.000Z</x:v>
      </x:c>
      <x:c r="D5" s="4" t="str">
        <x:v>SMP544_20260721_F1</x:v>
      </x:c>
      <x:c r="E5" s="4" t="str">
        <x:v>Y</x:v>
      </x:c>
      <x:c r="F5" s="4" t="str">
        <x:v>CL bar</x:v>
      </x:c>
      <x:c r="G5" s="16" t="str">
        <x:v>Previously behavior-screened: sustained, varied walking</x:v>
      </x:c>
      <x:c r="H5" s="16" t="str">
        <x:v>Explicit fly number in recording folder</x:v>
      </x:c>
      <x:c r="I5" s="16" t="str">
        <x:v>/Users/sophiarenauld/Documents/GitHub/Wilson_Thesis/Imaging_analysis/compare_smp544_ves041_reorientation.m</x:v>
      </x:c>
      <x:c r="J5" s="16" t="str">
        <x:v>/Users/sophiarenauld/stacks/20260721-3_smp544_fly1_clbar</x:v>
      </x:c>
    </x:row>
    <x:row r="6" ht="70" customHeight="1">
      <x:c r="A6" s="16" t="str">
        <x:v>20260721-4_smp544_fly1_olheat</x:v>
      </x:c>
      <x:c r="B6" s="4" t="str">
        <x:v>SMP544</x:v>
      </x:c>
      <x:c r="C6" s="5" t="d">
        <x:v>2026-07-21T12:00:00.000Z</x:v>
      </x:c>
      <x:c r="D6" s="4" t="str">
        <x:v>SMP544_20260721_F1</x:v>
      </x:c>
      <x:c r="E6" s="4" t="str">
        <x:v>Y</x:v>
      </x:c>
      <x:c r="F6" s="4" t="str">
        <x:v>Heat OL</x:v>
      </x:c>
      <x:c r="G6" s="16" t="str">
        <x:v>Previously behavior-screened: sustained, varied walking</x:v>
      </x:c>
      <x:c r="H6" s="16" t="str">
        <x:v>Explicit fly number in recording folder</x:v>
      </x:c>
      <x:c r="I6" s="16" t="str">
        <x:v>/Users/sophiarenauld/Documents/GitHub/Wilson_Thesis/Imaging_analysis/compare_smp544_ves041_reorientation.m</x:v>
      </x:c>
      <x:c r="J6" s="16" t="str">
        <x:v>/Users/sophiarenauld/stacks/20260721-4_smp544_fly1_olheat</x:v>
      </x:c>
    </x:row>
    <x:row r="7" ht="70" customHeight="1">
      <x:c r="A7" s="16" t="str">
        <x:v>20260722-2_smp544_fly1_clbar</x:v>
      </x:c>
      <x:c r="B7" s="4" t="str">
        <x:v>SMP544</x:v>
      </x:c>
      <x:c r="C7" s="5" t="d">
        <x:v>2026-07-22T12:00:00.000Z</x:v>
      </x:c>
      <x:c r="D7" s="4" t="str">
        <x:v>SMP544_20260722_F1</x:v>
      </x:c>
      <x:c r="E7" s="4" t="str">
        <x:v>Y</x:v>
      </x:c>
      <x:c r="F7" s="4" t="str">
        <x:v>CL bar</x:v>
      </x:c>
      <x:c r="G7" s="16" t="str">
        <x:v>Previously behavior-screened: sustained, varied walking</x:v>
      </x:c>
      <x:c r="H7" s="16" t="str">
        <x:v>Explicit fly number in recording folder</x:v>
      </x:c>
      <x:c r="I7" s="16" t="str">
        <x:v>/Users/sophiarenauld/Documents/GitHub/Wilson_Thesis/Imaging_analysis/compare_smp544_ves041_reorientation.m</x:v>
      </x:c>
      <x:c r="J7" s="16" t="str">
        <x:v>/Users/sophiarenauld/stacks/20260722-2_smp544_fly1_clbar</x:v>
      </x:c>
    </x:row>
    <x:row r="8" ht="70" customHeight="1">
      <x:c r="A8" s="16" t="str">
        <x:v>20261026_1_1_smp544_barjumps</x:v>
      </x:c>
      <x:c r="B8" s="4" t="str">
        <x:v>SMP544</x:v>
      </x:c>
      <x:c r="C8" s="5" t="d">
        <x:v>2026-10-26T12:00:00.000Z</x:v>
      </x:c>
      <x:c r="D8" s="4" t="str"/>
      <x:c r="E8" s="4" t="str">
        <x:v>Unreviewed</x:v>
      </x:c>
      <x:c r="F8" s="4" t="str">
        <x:v>Bar jumps</x:v>
      </x:c>
      <x:c r="G8" s="16" t="str">
        <x:v>Processed only; no recorded good-behavior decision; registration QC held</x:v>
      </x:c>
      <x:c r="H8" s="16" t="str">
        <x:v>Unassigned; fly identity absent</x:v>
      </x:c>
      <x:c r="I8" s="16" t="str">
        <x:v>/Users/sophiarenauld/stacks/smp544_20261026_analysis_20261028/run_report.csv</x:v>
      </x:c>
      <x:c r="J8" s="16" t="str">
        <x:v>/Users/sophiarenauld/stacks/2026-10-26/a2p_exploratory_20261027/20261026_1_1_smp544_barjumps</x:v>
      </x:c>
    </x:row>
    <x:row r="9" ht="70" customHeight="1">
      <x:c r="A9" s="16" t="str">
        <x:v>20261026_5_5_smp544_fly2_heatpyramid</x:v>
      </x:c>
      <x:c r="B9" s="4" t="str">
        <x:v>SMP544</x:v>
      </x:c>
      <x:c r="C9" s="5" t="d">
        <x:v>2026-10-26T12:00:00.000Z</x:v>
      </x:c>
      <x:c r="D9" s="4" t="str">
        <x:v>SMP544_20261026_F2</x:v>
      </x:c>
      <x:c r="E9" s="4" t="str">
        <x:v>Unreviewed</x:v>
      </x:c>
      <x:c r="F9" s="4" t="str">
        <x:v>Heat pyramid</x:v>
      </x:c>
      <x:c r="G9" s="16" t="str">
        <x:v>Processed only; no recorded good-behavior decision; registration QC held</x:v>
      </x:c>
      <x:c r="H9" s="16" t="str">
        <x:v>Explicit fly number</x:v>
      </x:c>
      <x:c r="I9" s="16" t="str">
        <x:v>/Users/sophiarenauld/stacks/smp544_20261026_analysis_20261028/run_report.csv</x:v>
      </x:c>
      <x:c r="J9" s="16" t="str">
        <x:v>/Users/sophiarenauld/stacks/2026-10-26/a2p_exploratory_20261027/20261026_5_5_smp544_fly2_heatpyramid</x:v>
      </x:c>
    </x:row>
    <x:row r="10" ht="70" customHeight="1">
      <x:c r="A10" s="16" t="str">
        <x:v>20261026_6_1_smp544_heat_stripe</x:v>
      </x:c>
      <x:c r="B10" s="4" t="str">
        <x:v>SMP544</x:v>
      </x:c>
      <x:c r="C10" s="5" t="d">
        <x:v>2026-10-26T12:00:00.000Z</x:v>
      </x:c>
      <x:c r="D10" s="4" t="str"/>
      <x:c r="E10" s="4" t="str">
        <x:v>Unreviewed</x:v>
      </x:c>
      <x:c r="F10" s="4" t="str">
        <x:v>Heat stripe</x:v>
      </x:c>
      <x:c r="G10" s="16" t="str">
        <x:v>Processed only; no recorded good-behavior decision; registration QC held</x:v>
      </x:c>
      <x:c r="H10" s="16" t="str">
        <x:v>Unassigned; fly identity absent</x:v>
      </x:c>
      <x:c r="I10" s="16" t="str">
        <x:v>/Users/sophiarenauld/stacks/smp544_20261026_analysis_20261028/run_report.csv</x:v>
      </x:c>
      <x:c r="J10" s="16" t="str">
        <x:v>/Users/sophiarenauld/stacks/2026-10-26/a2p_exploratory_20261027/20261026_6_1_smp544_heat_stripe</x:v>
      </x:c>
    </x:row>
    <x:row r="11" ht="70" customHeight="1">
      <x:c r="A11" s="16" t="str">
        <x:v>20261026_7_1_smp544_heat_stripes</x:v>
      </x:c>
      <x:c r="B11" s="4" t="str">
        <x:v>SMP544</x:v>
      </x:c>
      <x:c r="C11" s="5" t="d">
        <x:v>2026-10-26T12:00:00.000Z</x:v>
      </x:c>
      <x:c r="D11" s="4" t="str"/>
      <x:c r="E11" s="4" t="str">
        <x:v>Unreviewed</x:v>
      </x:c>
      <x:c r="F11" s="4" t="str">
        <x:v>Heat stripe</x:v>
      </x:c>
      <x:c r="G11" s="16" t="str">
        <x:v>Processed only; no recorded good-behavior decision; registration QC held</x:v>
      </x:c>
      <x:c r="H11" s="16" t="str">
        <x:v>Unassigned; fly identity absent</x:v>
      </x:c>
      <x:c r="I11" s="16" t="str">
        <x:v>/Users/sophiarenauld/stacks/smp544_20261026_analysis_20261028/run_report.csv</x:v>
      </x:c>
      <x:c r="J11" s="16" t="str">
        <x:v>/Users/sophiarenauld/stacks/2026-10-26/a2p_exploratory_20261027/20261026_7_1_smp544_heat_stripes</x:v>
      </x:c>
    </x:row>
    <x:row r="12" ht="70" customHeight="1">
      <x:c r="A12" s="16" t="str">
        <x:v>20261026_8_1_smp544_heatpyramid</x:v>
      </x:c>
      <x:c r="B12" s="4" t="str">
        <x:v>SMP544</x:v>
      </x:c>
      <x:c r="C12" s="5" t="d">
        <x:v>2026-10-26T12:00:00.000Z</x:v>
      </x:c>
      <x:c r="D12" s="4" t="str"/>
      <x:c r="E12" s="4" t="str">
        <x:v>Unreviewed</x:v>
      </x:c>
      <x:c r="F12" s="4" t="str">
        <x:v>Heat pyramid</x:v>
      </x:c>
      <x:c r="G12" s="16" t="str">
        <x:v>Processed only; no recorded good-behavior decision; registration QC held</x:v>
      </x:c>
      <x:c r="H12" s="16" t="str">
        <x:v>Unassigned; fly identity absent</x:v>
      </x:c>
      <x:c r="I12" s="16" t="str">
        <x:v>/Users/sophiarenauld/stacks/smp544_20261026_analysis_20261028/run_report.csv</x:v>
      </x:c>
      <x:c r="J12" s="16" t="str">
        <x:v>/Users/sophiarenauld/stacks/2026-10-26/a2p_exploratory_20261027/20261026_8_1_smp544_heatpyramid</x:v>
      </x:c>
    </x:row>
    <x:row r="13" ht="70" customHeight="1">
      <x:c r="A13" s="16" t="str">
        <x:v>20250812-20_ves041_fly3_clbarjumps</x:v>
      </x:c>
      <x:c r="B13" s="4" t="str">
        <x:v>VES041</x:v>
      </x:c>
      <x:c r="C13" s="5" t="d">
        <x:v>2025-08-12T12:00:00.000Z</x:v>
      </x:c>
      <x:c r="D13" s="4" t="str">
        <x:v>VES041_20250812_F3</x:v>
      </x:c>
      <x:c r="E13" s="4" t="str">
        <x:v>Y</x:v>
      </x:c>
      <x:c r="F13" s="4" t="str">
        <x:v>Bar jumps</x:v>
      </x:c>
      <x:c r="G13" s="16" t="str">
        <x:v>confirmed: Finder good behavior tag</x:v>
      </x:c>
      <x:c r="H13" s="16" t="str">
        <x:v>Explicit fly number in recording folder</x:v>
      </x:c>
      <x:c r="I13" s="16" t="str">
        <x:v>/Users/sophiarenauld/Documents/GitHub/Wilson_Thesis/Imaging_analysis/reports/ves041_trial_inventory_20261028.csv</x:v>
      </x:c>
      <x:c r="J13" s="16" t="str">
        <x:v>/Users/sophiarenauld/stacks/20250812-20_ves041_fly3_clbarjumps</x:v>
      </x:c>
    </x:row>
    <x:row r="14" ht="70" customHeight="1">
      <x:c r="A14" s="16" t="str">
        <x:v>20250812-21_ves041_fly3_olgrating</x:v>
      </x:c>
      <x:c r="B14" s="4" t="str">
        <x:v>VES041</x:v>
      </x:c>
      <x:c r="C14" s="5" t="d">
        <x:v>2025-08-12T12:00:00.000Z</x:v>
      </x:c>
      <x:c r="D14" s="4" t="str">
        <x:v>VES041_20250812_F3</x:v>
      </x:c>
      <x:c r="E14" s="4" t="str">
        <x:v>Y</x:v>
      </x:c>
      <x:c r="F14" s="4" t="str">
        <x:v>Gratings</x:v>
      </x:c>
      <x:c r="G14" s="16" t="str">
        <x:v>confirmed: Finder good behavior tag</x:v>
      </x:c>
      <x:c r="H14" s="16" t="str">
        <x:v>Explicit fly number in recording folder</x:v>
      </x:c>
      <x:c r="I14" s="16" t="str">
        <x:v>/Users/sophiarenauld/Documents/GitHub/Wilson_Thesis/Imaging_analysis/reports/ves041_trial_inventory_20261028.csv</x:v>
      </x:c>
      <x:c r="J14" s="16" t="str">
        <x:v>/Users/sophiarenauld/stacks/20250812-21_ves041_fly3_olgrating</x:v>
      </x:c>
    </x:row>
    <x:row r="15" ht="70" customHeight="1">
      <x:c r="A15" s="16" t="str">
        <x:v>20250812-22_ves041_fly3_bbarjumps2</x:v>
      </x:c>
      <x:c r="B15" s="4" t="str">
        <x:v>VES041</x:v>
      </x:c>
      <x:c r="C15" s="5" t="d">
        <x:v>2025-08-12T12:00:00.000Z</x:v>
      </x:c>
      <x:c r="D15" s="4" t="str">
        <x:v>VES041_20250812_F3</x:v>
      </x:c>
      <x:c r="E15" s="4" t="str">
        <x:v>Y</x:v>
      </x:c>
      <x:c r="F15" s="4" t="str">
        <x:v>Bar jumps</x:v>
      </x:c>
      <x:c r="G15" s="16" t="str">
        <x:v>confirmed: Finder good behavior tag</x:v>
      </x:c>
      <x:c r="H15" s="16" t="str">
        <x:v>Explicit fly number in recording folder</x:v>
      </x:c>
      <x:c r="I15" s="16" t="str">
        <x:v>/Users/sophiarenauld/Documents/GitHub/Wilson_Thesis/Imaging_analysis/reports/ves041_trial_inventory_20261028.csv</x:v>
      </x:c>
      <x:c r="J15" s="16" t="str">
        <x:v>/Users/sophiarenauld/stacks/20250812-22_ves041_fly3_bbarjumps2</x:v>
      </x:c>
    </x:row>
    <x:row r="16" ht="70" customHeight="1">
      <x:c r="A16" s="16" t="str">
        <x:v>20250813-3_ves041_fly1_olgrating</x:v>
      </x:c>
      <x:c r="B16" s="4" t="str">
        <x:v>VES041</x:v>
      </x:c>
      <x:c r="C16" s="5" t="d">
        <x:v>2025-08-13T12:00:00.000Z</x:v>
      </x:c>
      <x:c r="D16" s="4" t="str">
        <x:v>VES041_20250813_F1</x:v>
      </x:c>
      <x:c r="E16" s="4" t="str">
        <x:v>Y</x:v>
      </x:c>
      <x:c r="F16" s="4" t="str">
        <x:v>Gratings</x:v>
      </x:c>
      <x:c r="G16" s="16" t="str">
        <x:v>confirmed: Finder good behavior tag</x:v>
      </x:c>
      <x:c r="H16" s="16" t="str">
        <x:v>Explicit fly number in recording folder</x:v>
      </x:c>
      <x:c r="I16" s="16" t="str">
        <x:v>/Users/sophiarenauld/Documents/GitHub/Wilson_Thesis/Imaging_analysis/reports/ves041_trial_inventory_20261028.csv</x:v>
      </x:c>
      <x:c r="J16" s="16" t="str">
        <x:v>/Users/sophiarenauld/stacks/20250813-3_ves041_fly1_olgrating</x:v>
      </x:c>
    </x:row>
    <x:row r="17" ht="70" customHeight="1">
      <x:c r="A17" s="16" t="str">
        <x:v>20250819-10_ves041_fly1_olgrating5</x:v>
      </x:c>
      <x:c r="B17" s="4" t="str">
        <x:v>VES041</x:v>
      </x:c>
      <x:c r="C17" s="5" t="d">
        <x:v>2025-08-19T12:00:00.000Z</x:v>
      </x:c>
      <x:c r="D17" s="4" t="str">
        <x:v>VES041_20250819_F1</x:v>
      </x:c>
      <x:c r="E17" s="4" t="str">
        <x:v>Y</x:v>
      </x:c>
      <x:c r="F17" s="4" t="str">
        <x:v>Gratings</x:v>
      </x:c>
      <x:c r="G17" s="16" t="str">
        <x:v>confirmed: Finder good behavior tag</x:v>
      </x:c>
      <x:c r="H17" s="16" t="str">
        <x:v>Explicit fly number in recording folder</x:v>
      </x:c>
      <x:c r="I17" s="16" t="str">
        <x:v>/Users/sophiarenauld/Documents/GitHub/Wilson_Thesis/Imaging_analysis/reports/ves041_trial_inventory_20261028.csv</x:v>
      </x:c>
      <x:c r="J17" s="16" t="str">
        <x:v>/Users/sophiarenauld/stacks/20250819-10_ves041_fly1_olgrating5</x:v>
      </x:c>
    </x:row>
    <x:row r="18" ht="70" customHeight="1">
      <x:c r="A18" s="16" t="str">
        <x:v>20251001-21_ves041_fly3_clbbar</x:v>
      </x:c>
      <x:c r="B18" s="4" t="str">
        <x:v>VES041</x:v>
      </x:c>
      <x:c r="C18" s="5" t="d">
        <x:v>2025-10-01T12:00:00.000Z</x:v>
      </x:c>
      <x:c r="D18" s="4" t="str">
        <x:v>VES041_20251001_F3</x:v>
      </x:c>
      <x:c r="E18" s="4" t="str">
        <x:v>N</x:v>
      </x:c>
      <x:c r="F18" s="4" t="str">
        <x:v>CL bar</x:v>
      </x:c>
      <x:c r="G18" s="16" t="str">
        <x:v>not good behavior: user exclusion</x:v>
      </x:c>
      <x:c r="H18" s="16" t="str">
        <x:v>Explicit fly number in recording folder</x:v>
      </x:c>
      <x:c r="I18" s="16" t="str">
        <x:v>/Users/sophiarenauld/Documents/GitHub/Wilson_Thesis/Imaging_analysis/reports/ves041_trial_inventory_20261028.csv</x:v>
      </x:c>
      <x:c r="J18" s="16" t="str">
        <x:v>/Users/sophiarenauld/stacks/20251001-21_ves041_fly3_clbbar</x:v>
      </x:c>
    </x:row>
    <x:row r="19" ht="70" customHeight="1">
      <x:c r="A19" s="16" t="str">
        <x:v>20260213-2_ves041_clbar</x:v>
      </x:c>
      <x:c r="B19" s="4" t="str">
        <x:v>VES041</x:v>
      </x:c>
      <x:c r="C19" s="5" t="d">
        <x:v>2026-02-13T12:00:00.000Z</x:v>
      </x:c>
      <x:c r="D19" s="4" t="str">
        <x:v>VES041_20260213_F1</x:v>
      </x:c>
      <x:c r="E19" s="4" t="str">
        <x:v>N</x:v>
      </x:c>
      <x:c r="F19" s="4" t="str">
        <x:v>CL bar</x:v>
      </x:c>
      <x:c r="G19" s="16" t="str">
        <x:v>not good behavior: user exclusion</x:v>
      </x:c>
      <x:c r="H19" s="16" t="str">
        <x:v>Inferred first fly; later same-date folders explicitly label fly 2</x:v>
      </x:c>
      <x:c r="I19" s="16" t="str">
        <x:v>/Users/sophiarenauld/Documents/GitHub/Wilson_Thesis/Imaging_analysis/reports/ves041_trial_inventory_20261028.csv</x:v>
      </x:c>
      <x:c r="J19" s="16" t="str">
        <x:v>/Users/sophiarenauld/stacks/20260213-2_ves041_clbar</x:v>
      </x:c>
    </x:row>
    <x:row r="20" ht="70" customHeight="1">
      <x:c r="A20" s="16" t="str">
        <x:v>20260213-4_ves041_fly2_clbar</x:v>
      </x:c>
      <x:c r="B20" s="4" t="str">
        <x:v>VES041</x:v>
      </x:c>
      <x:c r="C20" s="5" t="d">
        <x:v>2026-02-13T12:00:00.000Z</x:v>
      </x:c>
      <x:c r="D20" s="4" t="str">
        <x:v>VES041_20260213_F2</x:v>
      </x:c>
      <x:c r="E20" s="4" t="str">
        <x:v>N</x:v>
      </x:c>
      <x:c r="F20" s="4" t="str">
        <x:v>CL bar</x:v>
      </x:c>
      <x:c r="G20" s="16" t="str">
        <x:v>not good behavior: user exclusion</x:v>
      </x:c>
      <x:c r="H20" s="16" t="str">
        <x:v>Explicit fly number in recording folder</x:v>
      </x:c>
      <x:c r="I20" s="16" t="str">
        <x:v>/Users/sophiarenauld/Documents/GitHub/Wilson_Thesis/Imaging_analysis/reports/ves041_trial_inventory_20261028.csv</x:v>
      </x:c>
      <x:c r="J20" s="16" t="str">
        <x:v>/Users/sophiarenauld/stacks/20260213-4_ves041_fly2_clbar</x:v>
      </x:c>
    </x:row>
    <x:row r="21" ht="70" customHeight="1">
      <x:c r="A21" s="16" t="str">
        <x:v>20260217-2_ves041_vt_clbbar1</x:v>
      </x:c>
      <x:c r="B21" s="4" t="str">
        <x:v>VES041</x:v>
      </x:c>
      <x:c r="C21" s="5" t="d">
        <x:v>2026-02-17T12:00:00.000Z</x:v>
      </x:c>
      <x:c r="D21" s="4" t="str">
        <x:v>VES041_20260217_F1</x:v>
      </x:c>
      <x:c r="E21" s="4" t="str">
        <x:v>Y</x:v>
      </x:c>
      <x:c r="F21" s="4" t="str">
        <x:v>CL bar</x:v>
      </x:c>
      <x:c r="G21" s="16" t="str">
        <x:v>confirmed: Finder good behavior tag</x:v>
      </x:c>
      <x:c r="H21" s="16" t="str">
        <x:v>Inferred first fly; later same-date folders explicitly label fly 2</x:v>
      </x:c>
      <x:c r="I21" s="16" t="str">
        <x:v>/Users/sophiarenauld/Documents/GitHub/Wilson_Thesis/Imaging_analysis/reports/ves041_trial_inventory_20261028.csv</x:v>
      </x:c>
      <x:c r="J21" s="16" t="str">
        <x:v>/Users/sophiarenauld/stacks/20260217-2_ves041_vt_clbbar1</x:v>
      </x:c>
    </x:row>
    <x:row r="22" ht="70" customHeight="1">
      <x:c r="A22" s="16" t="str">
        <x:v>20260217-3_ves041_vt_clbbar2_actuallydark</x:v>
      </x:c>
      <x:c r="B22" s="4" t="str">
        <x:v>VES041</x:v>
      </x:c>
      <x:c r="C22" s="5" t="d">
        <x:v>2026-02-17T12:00:00.000Z</x:v>
      </x:c>
      <x:c r="D22" s="4" t="str">
        <x:v>VES041_20260217_F1</x:v>
      </x:c>
      <x:c r="E22" s="4" t="str">
        <x:v>Y</x:v>
      </x:c>
      <x:c r="F22" s="4" t="str">
        <x:v>Dark</x:v>
      </x:c>
      <x:c r="G22" s="16" t="str">
        <x:v>confirmed: Finder good behavior tag</x:v>
      </x:c>
      <x:c r="H22" s="16" t="str">
        <x:v>Inferred first fly; later same-date folders explicitly label fly 2</x:v>
      </x:c>
      <x:c r="I22" s="16" t="str">
        <x:v>/Users/sophiarenauld/Documents/GitHub/Wilson_Thesis/Imaging_analysis/reports/ves041_trial_inventory_20261028.csv</x:v>
      </x:c>
      <x:c r="J22" s="16" t="str">
        <x:v>/Users/sophiarenauld/stacks/20260217-3_ves041_vt_clbbar2_actuallydark</x:v>
      </x:c>
    </x:row>
    <x:row r="23" ht="70" customHeight="1">
      <x:c r="A23" s="16" t="str">
        <x:v>20260217-4_ves041_vt_clbbar3</x:v>
      </x:c>
      <x:c r="B23" s="4" t="str">
        <x:v>VES041</x:v>
      </x:c>
      <x:c r="C23" s="5" t="d">
        <x:v>2026-02-17T12:00:00.000Z</x:v>
      </x:c>
      <x:c r="D23" s="4" t="str">
        <x:v>VES041_20260217_F1</x:v>
      </x:c>
      <x:c r="E23" s="4" t="str">
        <x:v>Y</x:v>
      </x:c>
      <x:c r="F23" s="4" t="str">
        <x:v>CL bar</x:v>
      </x:c>
      <x:c r="G23" s="16" t="str">
        <x:v>confirmed: Finder good behavior tag</x:v>
      </x:c>
      <x:c r="H23" s="16" t="str">
        <x:v>Inferred first fly; later same-date folders explicitly label fly 2</x:v>
      </x:c>
      <x:c r="I23" s="16" t="str">
        <x:v>/Users/sophiarenauld/Documents/GitHub/Wilson_Thesis/Imaging_analysis/reports/ves041_trial_inventory_20261028.csv</x:v>
      </x:c>
      <x:c r="J23" s="16" t="str">
        <x:v>/Users/sophiarenauld/stacks/20260217-4_ves041_vt_clbbar3</x:v>
      </x:c>
    </x:row>
    <x:row r="24" ht="70" customHeight="1">
      <x:c r="A24" s="16" t="str">
        <x:v>20260311-1_ves041_1_clbar_1hr</x:v>
      </x:c>
      <x:c r="B24" s="4" t="str">
        <x:v>VES041</x:v>
      </x:c>
      <x:c r="C24" s="5" t="d">
        <x:v>2026-03-11T12:00:00.000Z</x:v>
      </x:c>
      <x:c r="D24" s="4" t="str">
        <x:v>VES041_20260311_F1</x:v>
      </x:c>
      <x:c r="E24" s="4" t="str">
        <x:v>Y</x:v>
      </x:c>
      <x:c r="F24" s="4" t="str">
        <x:v>CL bar</x:v>
      </x:c>
      <x:c r="G24" s="16" t="str">
        <x:v>confirmed: Finder good behavior tag</x:v>
      </x:c>
      <x:c r="H24" s="16" t="str">
        <x:v>Inferred single unnumbered preparation on this date; confirm identity</x:v>
      </x:c>
      <x:c r="I24" s="16" t="str">
        <x:v>/Users/sophiarenauld/Documents/GitHub/Wilson_Thesis/Imaging_analysis/reports/ves041_trial_inventory_20261028.csv</x:v>
      </x:c>
      <x:c r="J24" s="16" t="str">
        <x:v>/Users/sophiarenauld/stacks/20260311-1_ves041_1_clbar_1hr</x:v>
      </x:c>
    </x:row>
    <x:row r="25" ht="70" customHeight="1">
      <x:c r="A25" s="16" t="str">
        <x:v>20260313-1_ves041_vt_clbar</x:v>
      </x:c>
      <x:c r="B25" s="4" t="str">
        <x:v>VES041</x:v>
      </x:c>
      <x:c r="C25" s="5" t="d">
        <x:v>2026-03-13T12:00:00.000Z</x:v>
      </x:c>
      <x:c r="D25" s="4" t="str">
        <x:v>VES041_20260313_F1</x:v>
      </x:c>
      <x:c r="E25" s="4" t="str">
        <x:v>Y</x:v>
      </x:c>
      <x:c r="F25" s="4" t="str">
        <x:v>CL bar</x:v>
      </x:c>
      <x:c r="G25" s="16" t="str">
        <x:v>confirmed: Finder good behavior tag</x:v>
      </x:c>
      <x:c r="H25" s="16" t="str">
        <x:v>Inferred single unnumbered preparation on this date; confirm identity</x:v>
      </x:c>
      <x:c r="I25" s="16" t="str">
        <x:v>/Users/sophiarenauld/Documents/GitHub/Wilson_Thesis/Imaging_analysis/reports/ves041_trial_inventory_20261028.csv</x:v>
      </x:c>
      <x:c r="J25" s="16" t="str">
        <x:v>/Users/sophiarenauld/stacks/20260313-1_ves041_vt_clbar</x:v>
      </x:c>
    </x:row>
    <x:row r="26" ht="70" customHeight="1">
      <x:c r="A26" s="16" t="str">
        <x:v>20260313-4_ves041_vt_clbar_2s_15olf_take2_odor</x:v>
      </x:c>
      <x:c r="B26" s="4" t="str">
        <x:v>VES041</x:v>
      </x:c>
      <x:c r="C26" s="5" t="d">
        <x:v>2026-03-13T12:00:00.000Z</x:v>
      </x:c>
      <x:c r="D26" s="4" t="str">
        <x:v>VES041_20260313_F1</x:v>
      </x:c>
      <x:c r="E26" s="4" t="str">
        <x:v>Y</x:v>
      </x:c>
      <x:c r="F26" s="4" t="str">
        <x:v>Odor</x:v>
      </x:c>
      <x:c r="G26" s="16" t="str">
        <x:v>confirmed: Finder good behavior tag</x:v>
      </x:c>
      <x:c r="H26" s="16" t="str">
        <x:v>Inferred single unnumbered preparation on this date; confirm identity</x:v>
      </x:c>
      <x:c r="I26" s="16" t="str">
        <x:v>/Users/sophiarenauld/Documents/GitHub/Wilson_Thesis/Imaging_analysis/reports/ves041_trial_inventory_20261028.csv</x:v>
      </x:c>
      <x:c r="J26" s="16" t="str">
        <x:v>/Users/sophiarenauld/stacks/20260313-4_ves041_vt_clbar_2s_15olf_take2_odor</x:v>
      </x:c>
    </x:row>
    <x:row r="27" ht="70" customHeight="1">
      <x:c r="A27" s="16" t="str">
        <x:v>20260318-2_ves041_odor</x:v>
      </x:c>
      <x:c r="B27" s="4" t="str">
        <x:v>VES041</x:v>
      </x:c>
      <x:c r="C27" s="5" t="d">
        <x:v>2026-03-18T12:00:00.000Z</x:v>
      </x:c>
      <x:c r="D27" s="4" t="str">
        <x:v>VES041_20260318_F1</x:v>
      </x:c>
      <x:c r="E27" s="4" t="str">
        <x:v>Y</x:v>
      </x:c>
      <x:c r="F27" s="4" t="str">
        <x:v>Odor</x:v>
      </x:c>
      <x:c r="G27" s="16" t="str">
        <x:v>confirmed: Finder good behavior tag</x:v>
      </x:c>
      <x:c r="H27" s="16" t="str">
        <x:v>Inferred single unnumbered preparation on this date; confirm identity</x:v>
      </x:c>
      <x:c r="I27" s="16" t="str">
        <x:v>/Users/sophiarenauld/Documents/GitHub/Wilson_Thesis/Imaging_analysis/reports/ves041_trial_inventory_20261028.csv</x:v>
      </x:c>
      <x:c r="J27" s="16" t="str">
        <x:v>/Users/sophiarenauld/stacks/20260318-2_ves041_odor</x:v>
      </x:c>
    </x:row>
    <x:row r="28" ht="70" customHeight="1">
      <x:c r="A28" s="16" t="str">
        <x:v>20260427-3_ves041_fly2_heat_20mmbarrier</x:v>
      </x:c>
      <x:c r="B28" s="4" t="str">
        <x:v>VES041</x:v>
      </x:c>
      <x:c r="C28" s="5" t="d">
        <x:v>2026-04-27T12:00:00.000Z</x:v>
      </x:c>
      <x:c r="D28" s="4" t="str">
        <x:v>VES041_20260427_F2</x:v>
      </x:c>
      <x:c r="E28" s="4" t="str">
        <x:v>Y</x:v>
      </x:c>
      <x:c r="F28" s="4" t="str">
        <x:v>Heat barrier</x:v>
      </x:c>
      <x:c r="G28" s="16" t="str">
        <x:v>confirmed: Finder good behavior tag</x:v>
      </x:c>
      <x:c r="H28" s="16" t="str">
        <x:v>Explicit fly number in recording folder</x:v>
      </x:c>
      <x:c r="I28" s="16" t="str">
        <x:v>/Users/sophiarenauld/Documents/GitHub/Wilson_Thesis/Imaging_analysis/reports/ves041_trial_inventory_20261028.csv</x:v>
      </x:c>
      <x:c r="J28" s="16" t="str">
        <x:v>/Users/sophiarenauld/stacks/20260427-3_ves041_fly2_heat_20mmbarrier</x:v>
      </x:c>
    </x:row>
    <x:row r="29" ht="70" customHeight="1">
      <x:c r="A29" s="16" t="str">
        <x:v>20260427-6_ves041_fly3_heat_80mm</x:v>
      </x:c>
      <x:c r="B29" s="4" t="str">
        <x:v>VES041</x:v>
      </x:c>
      <x:c r="C29" s="5" t="d">
        <x:v>2026-04-27T12:00:00.000Z</x:v>
      </x:c>
      <x:c r="D29" s="4" t="str">
        <x:v>VES041_20260427_F3</x:v>
      </x:c>
      <x:c r="E29" s="4" t="str">
        <x:v>Y</x:v>
      </x:c>
      <x:c r="F29" s="4" t="str">
        <x:v>Heat barrier</x:v>
      </x:c>
      <x:c r="G29" s="16" t="str">
        <x:v>confirmed: Finder good behavior tag</x:v>
      </x:c>
      <x:c r="H29" s="16" t="str">
        <x:v>Explicit fly number in recording folder</x:v>
      </x:c>
      <x:c r="I29" s="16" t="str">
        <x:v>/Users/sophiarenauld/Documents/GitHub/Wilson_Thesis/Imaging_analysis/reports/ves041_trial_inventory_20261028.csv</x:v>
      </x:c>
      <x:c r="J29" s="16" t="str">
        <x:v>/Users/sophiarenauld/stacks/20260427-6_ves041_fly3_heat_80mm</x:v>
      </x:c>
    </x:row>
    <x:row r="30" ht="70" customHeight="1">
      <x:c r="A30" s="16" t="str">
        <x:v>20260427-7_ves041_fly3_heat_20mm</x:v>
      </x:c>
      <x:c r="B30" s="4" t="str">
        <x:v>VES041</x:v>
      </x:c>
      <x:c r="C30" s="5" t="d">
        <x:v>2026-04-27T12:00:00.000Z</x:v>
      </x:c>
      <x:c r="D30" s="4" t="str">
        <x:v>VES041_20260427_F3</x:v>
      </x:c>
      <x:c r="E30" s="4" t="str">
        <x:v>Y</x:v>
      </x:c>
      <x:c r="F30" s="4" t="str">
        <x:v>Heat barrier</x:v>
      </x:c>
      <x:c r="G30" s="16" t="str">
        <x:v>confirmed: Finder good behavior tag</x:v>
      </x:c>
      <x:c r="H30" s="16" t="str">
        <x:v>Explicit fly number in recording folder</x:v>
      </x:c>
      <x:c r="I30" s="16" t="str">
        <x:v>/Users/sophiarenauld/Documents/GitHub/Wilson_Thesis/Imaging_analysis/reports/ves041_trial_inventory_20261028.csv</x:v>
      </x:c>
      <x:c r="J30" s="16" t="str">
        <x:v>/Users/sophiarenauld/stacks/20260427-7_ves041_fly3_heat_20mm</x:v>
      </x:c>
    </x:row>
    <x:row r="31" ht="70" customHeight="1">
      <x:c r="A31" s="16" t="str">
        <x:v>20261019_3_2</x:v>
      </x:c>
      <x:c r="B31" s="4" t="str">
        <x:v>VES041</x:v>
      </x:c>
      <x:c r="C31" s="5" t="d">
        <x:v>2026-10-19T12:00:00.000Z</x:v>
      </x:c>
      <x:c r="D31" s="4" t="str">
        <x:v>VES041_20261019_F1</x:v>
      </x:c>
      <x:c r="E31" s="4" t="str">
        <x:v>Y</x:v>
      </x:c>
      <x:c r="F31" s="4" t="str">
        <x:v>Bar jumps</x:v>
      </x:c>
      <x:c r="G31" s="16" t="str">
        <x:v>reviewed: add: good behavior</x:v>
      </x:c>
      <x:c r="H31" s="16" t="str">
        <x:v>User confirmed: all recordings on this date are one fly</x:v>
      </x:c>
      <x:c r="I31" s="16" t="str">
        <x:v>/Users/sophiarenauld/Documents/GitHub/Wilson_Thesis/Imaging_analysis/reports/ves041_trial_inventory_20261028.csv</x:v>
      </x:c>
      <x:c r="J31" s="16" t="str">
        <x:v>/Users/sophiarenauld/stacks/2026-10-19/ves041_syt8m_barjummps/192905_938_a91a18c7</x:v>
      </x:c>
    </x:row>
    <x:row r="32" ht="70" customHeight="1">
      <x:c r="A32" s="16" t="str">
        <x:v>20261019_4_1</x:v>
      </x:c>
      <x:c r="B32" s="4" t="str">
        <x:v>VES041</x:v>
      </x:c>
      <x:c r="C32" s="5" t="d">
        <x:v>2026-10-19T12:00:00.000Z</x:v>
      </x:c>
      <x:c r="D32" s="4" t="str">
        <x:v>VES041_20261019_F1</x:v>
      </x:c>
      <x:c r="E32" s="4" t="str">
        <x:v>Y</x:v>
      </x:c>
      <x:c r="F32" s="4" t="str">
        <x:v>Heat barrier</x:v>
      </x:c>
      <x:c r="G32" s="16" t="str">
        <x:v>reviewed: add: good behavior</x:v>
      </x:c>
      <x:c r="H32" s="16" t="str">
        <x:v>User confirmed: all recordings on this date are one fly</x:v>
      </x:c>
      <x:c r="I32" s="16" t="str">
        <x:v>/Users/sophiarenauld/Documents/GitHub/Wilson_Thesis/Imaging_analysis/reports/ves041_trial_inventory_20261028.csv</x:v>
      </x:c>
      <x:c r="J32" s="16" t="str">
        <x:v>/Users/sophiarenauld/stacks/2026-10-19/ves041_syt8m_heatbarrier/195226_128_73c8f424</x:v>
      </x:c>
    </x:row>
    <x:row r="33" ht="70" customHeight="1">
      <x:c r="A33" s="16" t="str">
        <x:v>20261019_5_1</x:v>
      </x:c>
      <x:c r="B33" s="4" t="str">
        <x:v>VES041</x:v>
      </x:c>
      <x:c r="C33" s="5" t="d">
        <x:v>2026-10-19T12:00:00.000Z</x:v>
      </x:c>
      <x:c r="D33" s="4" t="str">
        <x:v>VES041_20261019_F1</x:v>
      </x:c>
      <x:c r="E33" s="4" t="str">
        <x:v>Y</x:v>
      </x:c>
      <x:c r="F33" s="4" t="str">
        <x:v>Heat barrier</x:v>
      </x:c>
      <x:c r="G33" s="16" t="str">
        <x:v>reviewed: add: good behavior</x:v>
      </x:c>
      <x:c r="H33" s="16" t="str">
        <x:v>User confirmed: all recordings on this date are one fly</x:v>
      </x:c>
      <x:c r="I33" s="16" t="str">
        <x:v>/Users/sophiarenauld/Documents/GitHub/Wilson_Thesis/Imaging_analysis/reports/ves041_trial_inventory_20261028.csv</x:v>
      </x:c>
      <x:c r="J33" s="16" t="str">
        <x:v>/Users/sophiarenauld/stacks/2026-10-19/ves041_syt8m_heatbarrier2/205359_796_a138bba5</x:v>
      </x:c>
    </x:row>
    <x:row r="34" ht="70" customHeight="1">
      <x:c r="A34" s="16" t="str">
        <x:v>20261019_6_1</x:v>
      </x:c>
      <x:c r="B34" s="4" t="str">
        <x:v>VES041</x:v>
      </x:c>
      <x:c r="C34" s="5" t="d">
        <x:v>2026-10-19T12:00:00.000Z</x:v>
      </x:c>
      <x:c r="D34" s="4" t="str">
        <x:v>VES041_20261019_F1</x:v>
      </x:c>
      <x:c r="E34" s="4" t="str">
        <x:v>N</x:v>
      </x:c>
      <x:c r="F34" s="4" t="str">
        <x:v>Heat stripe</x:v>
      </x:c>
      <x:c r="G34" s="16" t="str">
        <x:v>reviewed: restricted: verified partial recording</x:v>
      </x:c>
      <x:c r="H34" s="16" t="str">
        <x:v>User confirmed: all recordings on this date are one fly</x:v>
      </x:c>
      <x:c r="I34" s="16" t="str">
        <x:v>/Users/sophiarenauld/Documents/GitHub/Wilson_Thesis/Imaging_analysis/reports/ves041_trial_inventory_20261028.csv</x:v>
      </x:c>
      <x:c r="J34" s="16" t="str">
        <x:v>/Users/sophiarenauld/stacks/2026-10-19/ves041_syt8m_heatstripe/200227_905_2566ec37</x:v>
      </x:c>
    </x:row>
    <x:row r="35" ht="70" customHeight="1">
      <x:c r="A35" s="16" t="str">
        <x:v>20261019_7_1</x:v>
      </x:c>
      <x:c r="B35" s="4" t="str">
        <x:v>VES041</x:v>
      </x:c>
      <x:c r="C35" s="5" t="d">
        <x:v>2026-10-19T12:00:00.000Z</x:v>
      </x:c>
      <x:c r="D35" s="4" t="str">
        <x:v>VES041_20261019_F1</x:v>
      </x:c>
      <x:c r="E35" s="4" t="str">
        <x:v>Y</x:v>
      </x:c>
      <x:c r="F35" s="4" t="str">
        <x:v>Heat stripe</x:v>
      </x:c>
      <x:c r="G35" s="16" t="str">
        <x:v>reviewed: add: good behavior</x:v>
      </x:c>
      <x:c r="H35" s="16" t="str">
        <x:v>User confirmed: all recordings on this date are one fly</x:v>
      </x:c>
      <x:c r="I35" s="16" t="str">
        <x:v>/Users/sophiarenauld/Documents/GitHub/Wilson_Thesis/Imaging_analysis/reports/ves041_trial_inventory_20261028.csv</x:v>
      </x:c>
      <x:c r="J35" s="16" t="str">
        <x:v>/Users/sophiarenauld/stacks/2026-10-19/ves041_syt8m_heatstripe2/202713_884_a38d41fe</x:v>
      </x:c>
    </x:row>
    <x:row r="36" ht="70" customHeight="1">
      <x:c r="A36" s="16" t="str">
        <x:v>20261019_8_2</x:v>
      </x:c>
      <x:c r="B36" s="4" t="str">
        <x:v>VES041</x:v>
      </x:c>
      <x:c r="C36" s="5" t="d">
        <x:v>2026-10-19T12:00:00.000Z</x:v>
      </x:c>
      <x:c r="D36" s="4" t="str">
        <x:v>VES041_20261019_F1</x:v>
      </x:c>
      <x:c r="E36" s="4" t="str">
        <x:v>Y</x:v>
      </x:c>
      <x:c r="F36" s="4" t="str">
        <x:v>Heat stripe</x:v>
      </x:c>
      <x:c r="G36" s="16" t="str">
        <x:v>reviewed: add: good behavior</x:v>
      </x:c>
      <x:c r="H36" s="16" t="str">
        <x:v>User confirmed: all recordings on this date are one fly</x:v>
      </x:c>
      <x:c r="I36" s="16" t="str">
        <x:v>/Users/sophiarenauld/Documents/GitHub/Wilson_Thesis/Imaging_analysis/reports/ves041_trial_inventory_20261028.csv</x:v>
      </x:c>
      <x:c r="J36" s="16" t="str">
        <x:v>/Users/sophiarenauld/stacks/2026-10-19/ves041_syt8m_heatstripe3/203444_878_11e00dc7</x:v>
      </x:c>
    </x:row>
    <x:row r="37" ht="70" customHeight="1">
      <x:c r="A37" s="16" t="str">
        <x:v>20261020_11_2</x:v>
      </x:c>
      <x:c r="B37" s="4" t="str">
        <x:v>VES041</x:v>
      </x:c>
      <x:c r="C37" s="5" t="d">
        <x:v>2026-10-20T12:00:00.000Z</x:v>
      </x:c>
      <x:c r="D37" s="4" t="str">
        <x:v>VES041_20261020_F1</x:v>
      </x:c>
      <x:c r="E37" s="4" t="str">
        <x:v>Y</x:v>
      </x:c>
      <x:c r="F37" s="4" t="str">
        <x:v>Heat barrier</x:v>
      </x:c>
      <x:c r="G37" s="16" t="str">
        <x:v>reviewed: add: good behavior</x:v>
      </x:c>
      <x:c r="H37" s="16" t="str">
        <x:v>User confirmed: trials 3–6 fly 2; trials 7–13 fly 1</x:v>
      </x:c>
      <x:c r="I37" s="16" t="str">
        <x:v>/Users/sophiarenauld/Documents/GitHub/Wilson_Thesis/Imaging_analysis/reports/ves041_trial_inventory_20261028.csv</x:v>
      </x:c>
      <x:c r="J37" s="16" t="str">
        <x:v>/Users/sophiarenauld/stacks/2026-10-20/20261020_11_2_ves041_syt8m_fly1_heatbarrier_redo</x:v>
      </x:c>
    </x:row>
    <x:row r="38" ht="70" customHeight="1">
      <x:c r="A38" s="16" t="str">
        <x:v>20261020_12_1</x:v>
      </x:c>
      <x:c r="B38" s="4" t="str">
        <x:v>VES041</x:v>
      </x:c>
      <x:c r="C38" s="5" t="d">
        <x:v>2026-10-20T12:00:00.000Z</x:v>
      </x:c>
      <x:c r="D38" s="4" t="str">
        <x:v>VES041_20261020_F1</x:v>
      </x:c>
      <x:c r="E38" s="4" t="str">
        <x:v>Y</x:v>
      </x:c>
      <x:c r="F38" s="4" t="str">
        <x:v>Heat stripe</x:v>
      </x:c>
      <x:c r="G38" s="16" t="str">
        <x:v>reviewed: add: good behavior</x:v>
      </x:c>
      <x:c r="H38" s="16" t="str">
        <x:v>User confirmed: trials 3–6 fly 2; trials 7–13 fly 1</x:v>
      </x:c>
      <x:c r="I38" s="16" t="str">
        <x:v>/Users/sophiarenauld/Documents/GitHub/Wilson_Thesis/Imaging_analysis/reports/ves041_trial_inventory_20261028.csv</x:v>
      </x:c>
      <x:c r="J38" s="16" t="str">
        <x:v>/Users/sophiarenauld/stacks/2026-10-20/20261020_12_1_ves041_syt8m_fly1_stripes</x:v>
      </x:c>
    </x:row>
    <x:row r="39" ht="70" customHeight="1">
      <x:c r="A39" s="16" t="str">
        <x:v>20261020_13_1</x:v>
      </x:c>
      <x:c r="B39" s="4" t="str">
        <x:v>VES041</x:v>
      </x:c>
      <x:c r="C39" s="5" t="d">
        <x:v>2026-10-20T12:00:00.000Z</x:v>
      </x:c>
      <x:c r="D39" s="4" t="str">
        <x:v>VES041_20261020_F1</x:v>
      </x:c>
      <x:c r="E39" s="4" t="str">
        <x:v>Y</x:v>
      </x:c>
      <x:c r="F39" s="4" t="str">
        <x:v>Heat stripe</x:v>
      </x:c>
      <x:c r="G39" s="16" t="str">
        <x:v>reviewed: add: good behavior</x:v>
      </x:c>
      <x:c r="H39" s="16" t="str">
        <x:v>User confirmed: trials 3–6 fly 2; trials 7–13 fly 1</x:v>
      </x:c>
      <x:c r="I39" s="16" t="str">
        <x:v>/Users/sophiarenauld/Documents/GitHub/Wilson_Thesis/Imaging_analysis/reports/ves041_trial_inventory_20261028.csv</x:v>
      </x:c>
      <x:c r="J39" s="16" t="str">
        <x:v>/Users/sophiarenauld/stacks/2026-10-20/20261020_13_1_ves041_syt8m_fly1_stripes2</x:v>
      </x:c>
    </x:row>
    <x:row r="40" ht="70" customHeight="1">
      <x:c r="A40" s="16" t="str">
        <x:v>20261020_3_1</x:v>
      </x:c>
      <x:c r="B40" s="4" t="str">
        <x:v>VES041</x:v>
      </x:c>
      <x:c r="C40" s="5" t="d">
        <x:v>2026-10-20T12:00:00.000Z</x:v>
      </x:c>
      <x:c r="D40" s="4" t="str">
        <x:v>VES041_20261020_F2</x:v>
      </x:c>
      <x:c r="E40" s="4" t="str">
        <x:v>N</x:v>
      </x:c>
      <x:c r="F40" s="4" t="str">
        <x:v>Bar jumps</x:v>
      </x:c>
      <x:c r="G40" s="16" t="str">
        <x:v>not good behavior: user exclusion</x:v>
      </x:c>
      <x:c r="H40" s="16" t="str">
        <x:v>User confirmed: trials 3–6 fly 2; trials 7–13 fly 1</x:v>
      </x:c>
      <x:c r="I40" s="16" t="str">
        <x:v>/Users/sophiarenauld/Documents/GitHub/Wilson_Thesis/Imaging_analysis/reports/ves041_trial_inventory_20261028.csv</x:v>
      </x:c>
      <x:c r="J40" s="16" t="str">
        <x:v>/Users/sophiarenauld/stacks/2026-10-20/20261020_3_1_ves041_fly2_barjump</x:v>
      </x:c>
    </x:row>
    <x:row r="41" ht="70" customHeight="1">
      <x:c r="A41" s="16" t="str">
        <x:v>20261020_4_2</x:v>
      </x:c>
      <x:c r="B41" s="4" t="str">
        <x:v>VES041</x:v>
      </x:c>
      <x:c r="C41" s="5" t="d">
        <x:v>2026-10-20T12:00:00.000Z</x:v>
      </x:c>
      <x:c r="D41" s="4" t="str">
        <x:v>VES041_20261020_F2</x:v>
      </x:c>
      <x:c r="E41" s="4" t="str">
        <x:v>Y</x:v>
      </x:c>
      <x:c r="F41" s="4" t="str">
        <x:v>Dark</x:v>
      </x:c>
      <x:c r="G41" s="16" t="str">
        <x:v>reviewed: add: good behavior</x:v>
      </x:c>
      <x:c r="H41" s="16" t="str">
        <x:v>User confirmed: trials 3–6 fly 2; trials 7–13 fly 1</x:v>
      </x:c>
      <x:c r="I41" s="16" t="str">
        <x:v>/Users/sophiarenauld/Documents/GitHub/Wilson_Thesis/Imaging_analysis/reports/ves041_trial_inventory_20261028.csv</x:v>
      </x:c>
      <x:c r="J41" s="16" t="str">
        <x:v>/Users/sophiarenauld/stacks/2026-10-20/20261020_4_2_ves041_fly2_dark</x:v>
      </x:c>
    </x:row>
    <x:row r="42" ht="70" customHeight="1">
      <x:c r="A42" s="16" t="str">
        <x:v>20261020_5_1</x:v>
      </x:c>
      <x:c r="B42" s="4" t="str">
        <x:v>VES041</x:v>
      </x:c>
      <x:c r="C42" s="5" t="d">
        <x:v>2026-10-20T12:00:00.000Z</x:v>
      </x:c>
      <x:c r="D42" s="4" t="str">
        <x:v>VES041_20261020_F2</x:v>
      </x:c>
      <x:c r="E42" s="4" t="str">
        <x:v>Y</x:v>
      </x:c>
      <x:c r="F42" s="4" t="str">
        <x:v>Heat barrier</x:v>
      </x:c>
      <x:c r="G42" s="16" t="str">
        <x:v>reviewed: add: good behavior</x:v>
      </x:c>
      <x:c r="H42" s="16" t="str">
        <x:v>User confirmed: trials 3–6 fly 2; trials 7–13 fly 1</x:v>
      </x:c>
      <x:c r="I42" s="16" t="str">
        <x:v>/Users/sophiarenauld/Documents/GitHub/Wilson_Thesis/Imaging_analysis/reports/ves041_trial_inventory_20261028.csv</x:v>
      </x:c>
      <x:c r="J42" s="16" t="str">
        <x:v>/Users/sophiarenauld/stacks/2026-10-20/20261020_5_1_ves041_fly2_heatgradient</x:v>
      </x:c>
    </x:row>
    <x:row r="43" ht="70" customHeight="1">
      <x:c r="A43" s="16" t="str">
        <x:v>20261020_6_1</x:v>
      </x:c>
      <x:c r="B43" s="4" t="str">
        <x:v>VES041</x:v>
      </x:c>
      <x:c r="C43" s="5" t="d">
        <x:v>2026-10-20T12:00:00.000Z</x:v>
      </x:c>
      <x:c r="D43" s="4" t="str">
        <x:v>VES041_20261020_F2</x:v>
      </x:c>
      <x:c r="E43" s="4" t="str">
        <x:v>Y</x:v>
      </x:c>
      <x:c r="F43" s="4" t="str">
        <x:v>Heat stripe</x:v>
      </x:c>
      <x:c r="G43" s="16" t="str">
        <x:v>reviewed: add: good behavior</x:v>
      </x:c>
      <x:c r="H43" s="16" t="str">
        <x:v>User confirmed: trials 3–6 fly 2; trials 7–13 fly 1</x:v>
      </x:c>
      <x:c r="I43" s="16" t="str">
        <x:v>/Users/sophiarenauld/Documents/GitHub/Wilson_Thesis/Imaging_analysis/reports/ves041_trial_inventory_20261028.csv</x:v>
      </x:c>
      <x:c r="J43" s="16" t="str">
        <x:v>/Users/sophiarenauld/stacks/2026-10-20/20261020_6_1_ves041_fly2_heatstripe</x:v>
      </x:c>
    </x:row>
    <x:row r="44" ht="70" customHeight="1">
      <x:c r="A44" s="16" t="str">
        <x:v>20261020_7_1</x:v>
      </x:c>
      <x:c r="B44" s="4" t="str">
        <x:v>VES041</x:v>
      </x:c>
      <x:c r="C44" s="5" t="d">
        <x:v>2026-10-20T12:00:00.000Z</x:v>
      </x:c>
      <x:c r="D44" s="4" t="str">
        <x:v>VES041_20261020_F1</x:v>
      </x:c>
      <x:c r="E44" s="4" t="str">
        <x:v>Y</x:v>
      </x:c>
      <x:c r="F44" s="4" t="str">
        <x:v>Bar jumps</x:v>
      </x:c>
      <x:c r="G44" s="16" t="str">
        <x:v>reviewed: add: good behavior</x:v>
      </x:c>
      <x:c r="H44" s="16" t="str">
        <x:v>User confirmed: trials 3–6 fly 2; trials 7–13 fly 1</x:v>
      </x:c>
      <x:c r="I44" s="16" t="str">
        <x:v>/Users/sophiarenauld/Documents/GitHub/Wilson_Thesis/Imaging_analysis/reports/ves041_trial_inventory_20261028.csv</x:v>
      </x:c>
      <x:c r="J44" s="16" t="str">
        <x:v>/Users/sophiarenauld/stacks/2026-10-20/20261020_7_1_ves041_syt8m_fly1_barjump</x:v>
      </x:c>
    </x:row>
    <x:row r="45" ht="70" customHeight="1">
      <x:c r="A45" s="16" t="str">
        <x:v>20261020_8_1</x:v>
      </x:c>
      <x:c r="B45" s="4" t="str">
        <x:v>VES041</x:v>
      </x:c>
      <x:c r="C45" s="5" t="d">
        <x:v>2026-10-20T12:00:00.000Z</x:v>
      </x:c>
      <x:c r="D45" s="4" t="str">
        <x:v>VES041_20261020_F1</x:v>
      </x:c>
      <x:c r="E45" s="4" t="str">
        <x:v>N</x:v>
      </x:c>
      <x:c r="F45" s="4" t="str">
        <x:v>Bar jumps</x:v>
      </x:c>
      <x:c r="G45" s="16" t="str">
        <x:v>reviewed: restricted: active epochs only</x:v>
      </x:c>
      <x:c r="H45" s="16" t="str">
        <x:v>User confirmed: trials 3–6 fly 2; trials 7–13 fly 1</x:v>
      </x:c>
      <x:c r="I45" s="16" t="str">
        <x:v>/Users/sophiarenauld/Documents/GitHub/Wilson_Thesis/Imaging_analysis/reports/ves041_trial_inventory_20261028.csv</x:v>
      </x:c>
      <x:c r="J45" s="16" t="str">
        <x:v>/Users/sophiarenauld/stacks/2026-10-20/20261020_8_1_ves041_syt8m_fly1_barjumps</x:v>
      </x:c>
    </x:row>
    <x:row r="46" ht="70" customHeight="1">
      <x:c r="A46" s="16" t="str">
        <x:v>20261020_9_1</x:v>
      </x:c>
      <x:c r="B46" s="4" t="str">
        <x:v>VES041</x:v>
      </x:c>
      <x:c r="C46" s="5" t="d">
        <x:v>2026-10-20T12:00:00.000Z</x:v>
      </x:c>
      <x:c r="D46" s="4" t="str">
        <x:v>VES041_20261020_F1</x:v>
      </x:c>
      <x:c r="E46" s="4" t="str">
        <x:v>Y</x:v>
      </x:c>
      <x:c r="F46" s="4" t="str">
        <x:v>Dark</x:v>
      </x:c>
      <x:c r="G46" s="16" t="str">
        <x:v>reviewed: add: good behavior</x:v>
      </x:c>
      <x:c r="H46" s="16" t="str">
        <x:v>User confirmed: trials 3–6 fly 2; trials 7–13 fly 1</x:v>
      </x:c>
      <x:c r="I46" s="16" t="str">
        <x:v>/Users/sophiarenauld/Documents/GitHub/Wilson_Thesis/Imaging_analysis/reports/ves041_trial_inventory_20261028.csv</x:v>
      </x:c>
      <x:c r="J46" s="16" t="str">
        <x:v>/Users/sophiarenauld/stacks/2026-10-20/20261020_9_1_ves041_syt8m_fly1_dark</x:v>
      </x:c>
    </x:row>
    <x:row r="47" ht="70" customHeight="1">
      <x:c r="A47" s="16" t="str">
        <x:v>20261024_2_3_ves041_barjumps</x:v>
      </x:c>
      <x:c r="B47" s="4" t="str">
        <x:v>VES041</x:v>
      </x:c>
      <x:c r="C47" s="5" t="d">
        <x:v>2026-10-24T12:00:00.000Z</x:v>
      </x:c>
      <x:c r="D47" s="4" t="str">
        <x:v>VES041_20261024_F1</x:v>
      </x:c>
      <x:c r="E47" s="4" t="str">
        <x:v>N</x:v>
      </x:c>
      <x:c r="F47" s="4" t="str">
        <x:v>Bar jumps</x:v>
      </x:c>
      <x:c r="G47" s="16" t="str">
        <x:v>reviewed: hold: low locomotor sampling</x:v>
      </x:c>
      <x:c r="H47" s="16" t="str">
        <x:v>User confirmed: all recordings on this date are one fly</x:v>
      </x:c>
      <x:c r="I47" s="16" t="str">
        <x:v>/Users/sophiarenauld/Documents/GitHub/Wilson_Thesis/Imaging_analysis/reports/ves041_trial_inventory_20261028.csv</x:v>
      </x:c>
      <x:c r="J47" s="16" t="str">
        <x:v>/Users/sophiarenauld/stacks/2026-10-24/ves041_barjumps/201946_637_a39e0974</x:v>
      </x:c>
    </x:row>
    <x:row r="48" ht="70" customHeight="1">
      <x:c r="A48" s="16" t="str">
        <x:v>20261024_2_4_ves041_barjumps</x:v>
      </x:c>
      <x:c r="B48" s="4" t="str">
        <x:v>VES041</x:v>
      </x:c>
      <x:c r="C48" s="5" t="d">
        <x:v>2026-10-24T12:00:00.000Z</x:v>
      </x:c>
      <x:c r="D48" s="4" t="str">
        <x:v>VES041_20261024_F1</x:v>
      </x:c>
      <x:c r="E48" s="4" t="str">
        <x:v>Y</x:v>
      </x:c>
      <x:c r="F48" s="4" t="str">
        <x:v>Bar jumps</x:v>
      </x:c>
      <x:c r="G48" s="16" t="str">
        <x:v>reviewed: add: good behavior</x:v>
      </x:c>
      <x:c r="H48" s="16" t="str">
        <x:v>User confirmed: all recordings on this date are one fly</x:v>
      </x:c>
      <x:c r="I48" s="16" t="str">
        <x:v>/Users/sophiarenauld/Documents/GitHub/Wilson_Thesis/Imaging_analysis/reports/ves041_trial_inventory_20261028.csv</x:v>
      </x:c>
      <x:c r="J48" s="16" t="str">
        <x:v>/Users/sophiarenauld/stacks/2026-10-24/ves041_barjumps/221751_217_1e96e609</x:v>
      </x:c>
    </x:row>
    <x:row r="49" ht="70" customHeight="1">
      <x:c r="A49" s="16" t="str">
        <x:v>20261024_3_2_ves041_barrier_bar</x:v>
      </x:c>
      <x:c r="B49" s="4" t="str">
        <x:v>VES041</x:v>
      </x:c>
      <x:c r="C49" s="5" t="d">
        <x:v>2026-10-24T12:00:00.000Z</x:v>
      </x:c>
      <x:c r="D49" s="4" t="str">
        <x:v>VES041_20261024_F1</x:v>
      </x:c>
      <x:c r="E49" s="4" t="str">
        <x:v>Y</x:v>
      </x:c>
      <x:c r="F49" s="4" t="str">
        <x:v>Heat barrier</x:v>
      </x:c>
      <x:c r="G49" s="16" t="str">
        <x:v>reviewed: add: good behavior</x:v>
      </x:c>
      <x:c r="H49" s="16" t="str">
        <x:v>User confirmed: all recordings on this date are one fly</x:v>
      </x:c>
      <x:c r="I49" s="16" t="str">
        <x:v>/Users/sophiarenauld/Documents/GitHub/Wilson_Thesis/Imaging_analysis/reports/ves041_trial_inventory_20261028.csv</x:v>
      </x:c>
      <x:c r="J49" s="16" t="str">
        <x:v>/Users/sophiarenauld/stacks/2026-10-24/ves041_barrier_bar/213706_600_71996adc</x:v>
      </x:c>
    </x:row>
    <x:row r="50" ht="70" customHeight="1">
      <x:c r="A50" s="16" t="str">
        <x:v>20261024_4_1_ves041_barrier_bar_multiple</x:v>
      </x:c>
      <x:c r="B50" s="4" t="str">
        <x:v>VES041</x:v>
      </x:c>
      <x:c r="C50" s="5" t="d">
        <x:v>2026-10-24T12:00:00.000Z</x:v>
      </x:c>
      <x:c r="D50" s="4" t="str">
        <x:v>VES041_20261024_F1</x:v>
      </x:c>
      <x:c r="E50" s="4" t="str">
        <x:v>Y</x:v>
      </x:c>
      <x:c r="F50" s="4" t="str">
        <x:v>Heat barrier</x:v>
      </x:c>
      <x:c r="G50" s="16" t="str">
        <x:v>reviewed: add: good behavior</x:v>
      </x:c>
      <x:c r="H50" s="16" t="str">
        <x:v>User confirmed: all recordings on this date are one fly</x:v>
      </x:c>
      <x:c r="I50" s="16" t="str">
        <x:v>/Users/sophiarenauld/Documents/GitHub/Wilson_Thesis/Imaging_analysis/reports/ves041_trial_inventory_20261028.csv</x:v>
      </x:c>
      <x:c r="J50" s="16" t="str">
        <x:v>/Users/sophiarenauld/stacks/2026-10-24/ves041_barrier_bar_multiple/214458_559_ca220e07</x:v>
      </x:c>
    </x:row>
    <x:row r="51" ht="70" customHeight="1">
      <x:c r="A51" s="16" t="str">
        <x:v>20261024_5_2_ves041_pyramid_bar</x:v>
      </x:c>
      <x:c r="B51" s="4" t="str">
        <x:v>VES041</x:v>
      </x:c>
      <x:c r="C51" s="5" t="d">
        <x:v>2026-10-24T12:00:00.000Z</x:v>
      </x:c>
      <x:c r="D51" s="4" t="str">
        <x:v>VES041_20261024_F1</x:v>
      </x:c>
      <x:c r="E51" s="4" t="str">
        <x:v>Y</x:v>
      </x:c>
      <x:c r="F51" s="4" t="str">
        <x:v>Heat pyramid</x:v>
      </x:c>
      <x:c r="G51" s="16" t="str">
        <x:v>reviewed: add: good behavior</x:v>
      </x:c>
      <x:c r="H51" s="16" t="str">
        <x:v>User confirmed: all recordings on this date are one fly</x:v>
      </x:c>
      <x:c r="I51" s="16" t="str">
        <x:v>/Users/sophiarenauld/Documents/GitHub/Wilson_Thesis/Imaging_analysis/reports/ves041_trial_inventory_20261028.csv</x:v>
      </x:c>
      <x:c r="J51" s="16" t="str">
        <x:v>/Users/sophiarenauld/stacks/2026-10-24/ves041_pyramid_bar/212759_082_1086b7b3</x:v>
      </x:c>
    </x:row>
    <x:row r="52" ht="70" customHeight="1">
      <x:c r="A52" s="16" t="str">
        <x:v>20261024_6_3_ves041_stripes_ball</x:v>
      </x:c>
      <x:c r="B52" s="4" t="str">
        <x:v>VES041</x:v>
      </x:c>
      <x:c r="C52" s="5" t="d">
        <x:v>2026-10-24T12:00:00.000Z</x:v>
      </x:c>
      <x:c r="D52" s="4" t="str">
        <x:v>VES041_20261024_F1</x:v>
      </x:c>
      <x:c r="E52" s="4" t="str">
        <x:v>Y</x:v>
      </x:c>
      <x:c r="F52" s="4" t="str">
        <x:v>Heat stripe</x:v>
      </x:c>
      <x:c r="G52" s="16" t="str">
        <x:v>reviewed: add: good behavior</x:v>
      </x:c>
      <x:c r="H52" s="16" t="str">
        <x:v>User confirmed: all recordings on this date are one fly</x:v>
      </x:c>
      <x:c r="I52" s="16" t="str">
        <x:v>/Users/sophiarenauld/Documents/GitHub/Wilson_Thesis/Imaging_analysis/reports/ves041_trial_inventory_20261028.csv</x:v>
      </x:c>
      <x:c r="J52" s="16" t="str">
        <x:v>/Users/sophiarenauld/stacks/2026-10-24/ves041_stripes_ball/211308_521_da8c0ebd</x:v>
      </x:c>
    </x:row>
    <x:row r="53" ht="70" customHeight="1">
      <x:c r="A53" s="16" t="str">
        <x:v>20261024_7_1_ves041_stripes_bar</x:v>
      </x:c>
      <x:c r="B53" s="4" t="str">
        <x:v>VES041</x:v>
      </x:c>
      <x:c r="C53" s="5" t="d">
        <x:v>2026-10-24T12:00:00.000Z</x:v>
      </x:c>
      <x:c r="D53" s="4" t="str">
        <x:v>VES041_20261024_F1</x:v>
      </x:c>
      <x:c r="E53" s="4" t="str">
        <x:v>Y</x:v>
      </x:c>
      <x:c r="F53" s="4" t="str">
        <x:v>Heat stripe</x:v>
      </x:c>
      <x:c r="G53" s="16" t="str">
        <x:v>reviewed: add: good behavior</x:v>
      </x:c>
      <x:c r="H53" s="16" t="str">
        <x:v>User confirmed: all recordings on this date are one fly</x:v>
      </x:c>
      <x:c r="I53" s="16" t="str">
        <x:v>/Users/sophiarenauld/Documents/GitHub/Wilson_Thesis/Imaging_analysis/reports/ves041_trial_inventory_20261028.csv</x:v>
      </x:c>
      <x:c r="J53" s="16" t="str">
        <x:v>/Users/sophiarenauld/stacks/2026-10-24/ves041_stripes_bar/220212_164_f8f96557</x:v>
      </x:c>
    </x:row>
  </x:sheetData>
  <x:conditionalFormatting sqref="E2:E53">
    <x:cfRule type="cellIs" dxfId="3" priority="1" operator="equal">
      <x:formula>"N"</x:formula>
    </x:cfRule>
    <x:cfRule type="cellIs" dxfId="4" priority="2" operator="equal">
      <x:formula>"Unreviewed"</x:formula>
    </x:cfRule>
  </x:conditionalFormatting>
  <x:dataValidations count="1">
    <x:dataValidation type="list" sqref="E2:E53">
      <x:formula1>"Y,N,Unreviewed"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a65316836c4057"/>
  </x:tableParts>
</x:worksheet>
</file>