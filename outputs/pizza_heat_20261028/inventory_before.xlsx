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ophiarenauld/stacks/pizza_talk_analysis/"/>
    </mc:Choice>
  </mc:AlternateContent>
  <xr:revisionPtr revIDLastSave="0" documentId="11_D19B15EA2B46DB4901053C6EA31D5AB69945A526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Fly overview" sheetId="1" r:id="rId1"/>
    <sheet name="Trial rec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<sst xmlns="http://schemas.openxmlformats.org/spreadsheetml/2006/main" count="532" uniqueCount="178">
  <si>
    <t>Good-behavior imaging inventory</t>
  </si>
  <si>
    <t>VES041 and SMP544. Y = at least one accepted recording of that type. N = no accepted recording of that type.</t>
  </si>
  <si>
    <t>Fly ID</t>
  </si>
  <si>
    <t>Date</t>
  </si>
  <si>
    <t>Dark</t>
  </si>
  <si>
    <t>CL bar</t>
  </si>
  <si>
    <t>Bar jumps</t>
  </si>
  <si>
    <t>Gratings</t>
  </si>
  <si>
    <t>Heat OL</t>
  </si>
  <si>
    <t>Heat barrier</t>
  </si>
  <si>
    <t>Heat pyramid</t>
  </si>
  <si>
    <t>Heat stripe</t>
  </si>
  <si>
    <t>Good behavior</t>
  </si>
  <si>
    <t>Fly identity</t>
  </si>
  <si>
    <t>SMP544_20260720_F2</t>
  </si>
  <si>
    <t>Explicit</t>
  </si>
  <si>
    <t>SMP544_20260721_F1</t>
  </si>
  <si>
    <t>SMP544_20260722_F1</t>
  </si>
  <si>
    <t>VES041_20250812_F3</t>
  </si>
  <si>
    <t>VES041_20250813_F1</t>
  </si>
  <si>
    <t>VES041_20250819_F1</t>
  </si>
  <si>
    <t>VES041_20251001_F3</t>
  </si>
  <si>
    <t>VES041_20260213_F1</t>
  </si>
  <si>
    <t>Inferred</t>
  </si>
  <si>
    <t>VES041_20260213_F2</t>
  </si>
  <si>
    <t>VES041_20260217_F1</t>
  </si>
  <si>
    <t>VES041_20260311_F1</t>
  </si>
  <si>
    <t>VES041_20260313_F1</t>
  </si>
  <si>
    <t>VES041_20260318_F1</t>
  </si>
  <si>
    <t>VES041_20260427_F2</t>
  </si>
  <si>
    <t>VES041_20260427_F3</t>
  </si>
  <si>
    <t>VES041_20261019_F1</t>
  </si>
  <si>
    <t>User confirmed</t>
  </si>
  <si>
    <t>VES041_20261020_F1</t>
  </si>
  <si>
    <t>VES041_20261020_F2</t>
  </si>
  <si>
    <t>VES041_20261024_F1</t>
  </si>
  <si>
    <t>CL bar means a separate non-jump bar trial. Bar-jump and heat trials do not automatically count as CL bar.</t>
  </si>
  <si>
    <t>Rejected trials: 2025-10-01, both 2026-02-13 recordings, and 20261020_3_1 are N in Trial records.</t>
  </si>
  <si>
    <t>October 20 VES041 fly 2 retains accepted dark/heat trials; its rejected bar-jump trial contributes no Y flag.</t>
  </si>
  <si>
    <t>Five processed SMP544 recordings from October 26 are Unreviewed and do not contribute to the fly overview.</t>
  </si>
  <si>
    <t>Odor is retained in Trial records. A fly with only accepted odor recordings can have Good behavior = Y and all listed conditions = N.</t>
  </si>
  <si>
    <t>Fly IDs include date and cell type. Unnumbered historical preparations remain inferred; October VES041 grouping follows user confirmation.</t>
  </si>
  <si>
    <t>Trial</t>
  </si>
  <si>
    <t>Cell type</t>
  </si>
  <si>
    <t>Trial type</t>
  </si>
  <si>
    <t>Behavior review</t>
  </si>
  <si>
    <t>Fly identity basis</t>
  </si>
  <si>
    <t>Selection source</t>
  </si>
  <si>
    <t>Recording folder</t>
  </si>
  <si>
    <t>20260720-3_smp544_fly2_dark</t>
  </si>
  <si>
    <t>SMP544</t>
  </si>
  <si>
    <t>Y</t>
  </si>
  <si>
    <t>Previously behavior-screened: sustained, varied walking</t>
  </si>
  <si>
    <t>Explicit fly number in recording folder</t>
  </si>
  <si>
    <t>/Users/sophiarenauld/Documents/GitHub/Wilson_Thesis/Imaging_analysis/compare_smp544_ves041_reorientation.m</t>
  </si>
  <si>
    <t>/Users/sophiarenauld/stacks/20260720-3_smp544_fly2_dark</t>
  </si>
  <si>
    <t>20260720-4_smp544_fly2_dark2_volume</t>
  </si>
  <si>
    <t>/Users/sophiarenauld/stacks/20260720-4_smp544_fly2_dark2_volume</t>
  </si>
  <si>
    <t>20260721-2_smp544_fly1_clbar</t>
  </si>
  <si>
    <t>/Users/sophiarenauld/stacks/20260721-2_smp544_fly1_clbar</t>
  </si>
  <si>
    <t>20260721-3_smp544_fly1_clbar</t>
  </si>
  <si>
    <t>/Users/sophiarenauld/stacks/20260721-3_smp544_fly1_clbar</t>
  </si>
  <si>
    <t>20260721-4_smp544_fly1_olheat</t>
  </si>
  <si>
    <t>/Users/sophiarenauld/stacks/20260721-4_smp544_fly1_olheat</t>
  </si>
  <si>
    <t>20260722-2_smp544_fly1_clbar</t>
  </si>
  <si>
    <t>/Users/sophiarenauld/stacks/20260722-2_smp544_fly1_clbar</t>
  </si>
  <si>
    <t>20261026_1_1_smp544_barjumps</t>
  </si>
  <si>
    <t>Unreviewed</t>
  </si>
  <si>
    <t>Processed only; no recorded good-behavior decision; registration QC held</t>
  </si>
  <si>
    <t>Unassigned; fly identity absent</t>
  </si>
  <si>
    <t>/Users/sophiarenauld/stacks/smp544_20261026_analysis_20261028/run_report.csv</t>
  </si>
  <si>
    <t>/Users/sophiarenauld/stacks/2026-10-26/a2p_exploratory_20261027/20261026_1_1_smp544_barjumps</t>
  </si>
  <si>
    <t>20261026_5_5_smp544_fly2_heatpyramid</t>
  </si>
  <si>
    <t>SMP544_20261026_F2</t>
  </si>
  <si>
    <t>Explicit fly number</t>
  </si>
  <si>
    <t>/Users/sophiarenauld/stacks/2026-10-26/a2p_exploratory_20261027/20261026_5_5_smp544_fly2_heatpyramid</t>
  </si>
  <si>
    <t>20261026_6_1_smp544_heat_stripe</t>
  </si>
  <si>
    <t>/Users/sophiarenauld/stacks/2026-10-26/a2p_exploratory_20261027/20261026_6_1_smp544_heat_stripe</t>
  </si>
  <si>
    <t>20261026_7_1_smp544_heat_stripes</t>
  </si>
  <si>
    <t>/Users/sophiarenauld/stacks/2026-10-26/a2p_exploratory_20261027/20261026_7_1_smp544_heat_stripes</t>
  </si>
  <si>
    <t>20261026_8_1_smp544_heatpyramid</t>
  </si>
  <si>
    <t>/Users/sophiarenauld/stacks/2026-10-26/a2p_exploratory_20261027/20261026_8_1_smp544_heatpyramid</t>
  </si>
  <si>
    <t>20250812-20_ves041_fly3_clbarjumps</t>
  </si>
  <si>
    <t>VES041</t>
  </si>
  <si>
    <t>confirmed: Finder good behavior tag</t>
  </si>
  <si>
    <t>/Users/sophiarenauld/Documents/GitHub/Wilson_Thesis/Imaging_analysis/reports/ves041_trial_inventory_20261028.csv</t>
  </si>
  <si>
    <t>/Users/sophiarenauld/stacks/20250812-20_ves041_fly3_clbarjumps</t>
  </si>
  <si>
    <t>20250812-21_ves041_fly3_olgrating</t>
  </si>
  <si>
    <t>/Users/sophiarenauld/stacks/20250812-21_ves041_fly3_olgrating</t>
  </si>
  <si>
    <t>20250812-22_ves041_fly3_bbarjumps2</t>
  </si>
  <si>
    <t>/Users/sophiarenauld/stacks/20250812-22_ves041_fly3_bbarjumps2</t>
  </si>
  <si>
    <t>20250813-3_ves041_fly1_olgrating</t>
  </si>
  <si>
    <t>/Users/sophiarenauld/stacks/20250813-3_ves041_fly1_olgrating</t>
  </si>
  <si>
    <t>20250819-10_ves041_fly1_olgrating5</t>
  </si>
  <si>
    <t>/Users/sophiarenauld/stacks/20250819-10_ves041_fly1_olgrating5</t>
  </si>
  <si>
    <t>20251001-21_ves041_fly3_clbbar</t>
  </si>
  <si>
    <t>N</t>
  </si>
  <si>
    <t>not good behavior: user exclusion</t>
  </si>
  <si>
    <t>/Users/sophiarenauld/stacks/20251001-21_ves041_fly3_clbbar</t>
  </si>
  <si>
    <t>20260213-2_ves041_clbar</t>
  </si>
  <si>
    <t>Inferred first fly; later same-date folders explicitly label fly 2</t>
  </si>
  <si>
    <t>/Users/sophiarenauld/stacks/20260213-2_ves041_clbar</t>
  </si>
  <si>
    <t>20260213-4_ves041_fly2_clbar</t>
  </si>
  <si>
    <t>/Users/sophiarenauld/stacks/20260213-4_ves041_fly2_clbar</t>
  </si>
  <si>
    <t>20260217-2_ves041_vt_clbbar1</t>
  </si>
  <si>
    <t>/Users/sophiarenauld/stacks/20260217-2_ves041_vt_clbbar1</t>
  </si>
  <si>
    <t>20260217-3_ves041_vt_clbbar2_actuallydark</t>
  </si>
  <si>
    <t>/Users/sophiarenauld/stacks/20260217-3_ves041_vt_clbbar2_actuallydark</t>
  </si>
  <si>
    <t>20260217-4_ves041_vt_clbbar3</t>
  </si>
  <si>
    <t>/Users/sophiarenauld/stacks/20260217-4_ves041_vt_clbbar3</t>
  </si>
  <si>
    <t>20260311-1_ves041_1_clbar_1hr</t>
  </si>
  <si>
    <t>Inferred single unnumbered preparation on this date; confirm identity</t>
  </si>
  <si>
    <t>/Users/sophiarenauld/stacks/20260311-1_ves041_1_clbar_1hr</t>
  </si>
  <si>
    <t>20260313-1_ves041_vt_clbar</t>
  </si>
  <si>
    <t>/Users/sophiarenauld/stacks/20260313-1_ves041_vt_clbar</t>
  </si>
  <si>
    <t>20260313-4_ves041_vt_clbar_2s_15olf_take2_odor</t>
  </si>
  <si>
    <t>Odor</t>
  </si>
  <si>
    <t>/Users/sophiarenauld/stacks/20260313-4_ves041_vt_clbar_2s_15olf_take2_odor</t>
  </si>
  <si>
    <t>20260318-2_ves041_odor</t>
  </si>
  <si>
    <t>/Users/sophiarenauld/stacks/20260318-2_ves041_odor</t>
  </si>
  <si>
    <t>20260427-3_ves041_fly2_heat_20mmbarrier</t>
  </si>
  <si>
    <t>/Users/sophiarenauld/stacks/20260427-3_ves041_fly2_heat_20mmbarrier</t>
  </si>
  <si>
    <t>20260427-6_ves041_fly3_heat_80mm</t>
  </si>
  <si>
    <t>/Users/sophiarenauld/stacks/20260427-6_ves041_fly3_heat_80mm</t>
  </si>
  <si>
    <t>20260427-7_ves041_fly3_heat_20mm</t>
  </si>
  <si>
    <t>/Users/sophiarenauld/stacks/20260427-7_ves041_fly3_heat_20mm</t>
  </si>
  <si>
    <t>20261019_3_2</t>
  </si>
  <si>
    <t>reviewed: add: good behavior</t>
  </si>
  <si>
    <t>User confirmed: all recordings on this date are one fly</t>
  </si>
  <si>
    <t>/Users/sophiarenauld/stacks/2026-10-19/ves041_syt8m_barjummps/192905_938_a91a18c7</t>
  </si>
  <si>
    <t>20261019_4_1</t>
  </si>
  <si>
    <t>/Users/sophiarenauld/stacks/2026-10-19/ves041_syt8m_heatbarrier/195226_128_73c8f424</t>
  </si>
  <si>
    <t>20261019_5_1</t>
  </si>
  <si>
    <t>/Users/sophiarenauld/stacks/2026-10-19/ves041_syt8m_heatbarrier2/205359_796_a138bba5</t>
  </si>
  <si>
    <t>20261019_6_1</t>
  </si>
  <si>
    <t>reviewed: restricted: verified partial recording</t>
  </si>
  <si>
    <t>/Users/sophiarenauld/stacks/2026-10-19/ves041_syt8m_heatstripe/200227_905_2566ec37</t>
  </si>
  <si>
    <t>20261019_7_1</t>
  </si>
  <si>
    <t>/Users/sophiarenauld/stacks/2026-10-19/ves041_syt8m_heatstripe2/202713_884_a38d41fe</t>
  </si>
  <si>
    <t>20261019_8_2</t>
  </si>
  <si>
    <t>/Users/sophiarenauld/stacks/2026-10-19/ves041_syt8m_heatstripe3/203444_878_11e00dc7</t>
  </si>
  <si>
    <t>20261020_11_2</t>
  </si>
  <si>
    <t>User confirmed: trials 3–6 fly 2; trials 7–13 fly 1</t>
  </si>
  <si>
    <t>/Users/sophiarenauld/stacks/2026-10-20/20261020_11_2_ves041_syt8m_fly1_heatbarrier_redo</t>
  </si>
  <si>
    <t>20261020_12_1</t>
  </si>
  <si>
    <t>/Users/sophiarenauld/stacks/2026-10-20/20261020_12_1_ves041_syt8m_fly1_stripes</t>
  </si>
  <si>
    <t>20261020_13_1</t>
  </si>
  <si>
    <t>/Users/sophiarenauld/stacks/2026-10-20/20261020_13_1_ves041_syt8m_fly1_stripes2</t>
  </si>
  <si>
    <t>20261020_3_1</t>
  </si>
  <si>
    <t>/Users/sophiarenauld/stacks/2026-10-20/20261020_3_1_ves041_fly2_barjump</t>
  </si>
  <si>
    <t>20261020_4_2</t>
  </si>
  <si>
    <t>/Users/sophiarenauld/stacks/2026-10-20/20261020_4_2_ves041_fly2_dark</t>
  </si>
  <si>
    <t>20261020_5_1</t>
  </si>
  <si>
    <t>/Users/sophiarenauld/stacks/2026-10-20/20261020_5_1_ves041_fly2_heatgradient</t>
  </si>
  <si>
    <t>20261020_6_1</t>
  </si>
  <si>
    <t>/Users/sophiarenauld/stacks/2026-10-20/20261020_6_1_ves041_fly2_heatstripe</t>
  </si>
  <si>
    <t>20261020_7_1</t>
  </si>
  <si>
    <t>/Users/sophiarenauld/stacks/2026-10-20/20261020_7_1_ves041_syt8m_fly1_barjump</t>
  </si>
  <si>
    <t>20261020_8_1</t>
  </si>
  <si>
    <t>reviewed: restricted: active epochs only</t>
  </si>
  <si>
    <t>/Users/sophiarenauld/stacks/2026-10-20/20261020_8_1_ves041_syt8m_fly1_barjumps</t>
  </si>
  <si>
    <t>20261020_9_1</t>
  </si>
  <si>
    <t>/Users/sophiarenauld/stacks/2026-10-20/20261020_9_1_ves041_syt8m_fly1_dark</t>
  </si>
  <si>
    <t>20261024_2_3_ves041_barjumps</t>
  </si>
  <si>
    <t>reviewed: hold: low locomotor sampling</t>
  </si>
  <si>
    <t>/Users/sophiarenauld/stacks/2026-10-24/ves041_barjumps/201946_637_a39e0974</t>
  </si>
  <si>
    <t>20261024_2_4_ves041_barjumps</t>
  </si>
  <si>
    <t>/Users/sophiarenauld/stacks/2026-10-24/ves041_barjumps/221751_217_1e96e609</t>
  </si>
  <si>
    <t>20261024_3_2_ves041_barrier_bar</t>
  </si>
  <si>
    <t>/Users/sophiarenauld/stacks/2026-10-24/ves041_barrier_bar/213706_600_71996adc</t>
  </si>
  <si>
    <t>20261024_4_1_ves041_barrier_bar_multiple</t>
  </si>
  <si>
    <t>/Users/sophiarenauld/stacks/2026-10-24/ves041_barrier_bar_multiple/214458_559_ca220e07</t>
  </si>
  <si>
    <t>20261024_5_2_ves041_pyramid_bar</t>
  </si>
  <si>
    <t>/Users/sophiarenauld/stacks/2026-10-24/ves041_pyramid_bar/212759_082_1086b7b3</t>
  </si>
  <si>
    <t>20261024_6_3_ves041_stripes_ball</t>
  </si>
  <si>
    <t>/Users/sophiarenauld/stacks/2026-10-24/ves041_stripes_ball/211308_521_da8c0ebd</t>
  </si>
  <si>
    <t>20261024_7_1_ves041_stripes_bar</t>
  </si>
  <si>
    <t>/Users/sophiarenauld/stacks/2026-10-24/ves041_stripes_bar/220212_164_f8f96557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</si>
</sst>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name val="Carlito"/>
    </font>
    <font>
      <b/>
      <sz val="14"/>
      <color rgb="FF24374A"/>
      <name val="Arial"/>
      <family val="2"/>
    </font>
    <font>
      <i/>
      <sz val="10"/>
      <color rgb="FF52616F"/>
      <name val="Arial"/>
      <family val="2"/>
    </font>
    <font>
      <sz val="10"/>
      <color rgb="FF233342"/>
      <name val="Arial"/>
      <family val="2"/>
    </font>
    <font>
      <b/>
      <sz val="10"/>
      <color rgb="FFFFFFFF"/>
      <name val="Arial"/>
      <family val="2"/>
    </font>
    <font>
      <sz val="10"/>
      <color rgb="FF52616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1465A"/>
      </patternFill>
    </fill>
    <fill>
      <patternFill patternType="solid">
        <fgColor rgb="FF526579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5">
    <dxf>
      <font>
        <color rgb="FF755416"/>
      </font>
      <fill>
        <patternFill patternType="solid">
          <bgColor rgb="FFFFF0CF"/>
        </patternFill>
      </fill>
    </dxf>
    <dxf>
      <font>
        <color rgb="FF92392F"/>
      </font>
      <fill>
        <patternFill patternType="solid">
          <bgColor rgb="FFF8E4E2"/>
        </patternFill>
      </fill>
    </dxf>
    <dxf>
      <font>
        <color rgb="FF755416"/>
      </font>
      <fill>
        <patternFill patternType="solid">
          <bgColor rgb="FFFFF0CF"/>
        </patternFill>
      </fill>
    </dxf>
    <dxf>
      <font>
        <b/>
        <color rgb="FF92392F"/>
      </font>
      <fill>
        <patternFill patternType="solid">
          <bgColor rgb="FFF8E4E2"/>
        </patternFill>
      </fill>
    </dxf>
    <dxf>
      <font>
        <color rgb="FF234F3D"/>
      </font>
      <fill>
        <patternFill patternType="solid">
          <bgColor rgb="FFE8F0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lyOverview" displayName="FlyOverview" ref="A5:L24" totalsRowShown="0">
  <tableColumns count="12">
    <tableColumn id="1" xr3:uid="{00000000-0010-0000-0000-000001000000}" name="Fly ID"/>
    <tableColumn id="2" xr3:uid="{00000000-0010-0000-0000-000002000000}" name="Date"/>
    <tableColumn id="3" xr3:uid="{00000000-0010-0000-0000-000003000000}" name="Dark"/>
    <tableColumn id="4" xr3:uid="{00000000-0010-0000-0000-000004000000}" name="CL bar"/>
    <tableColumn id="5" xr3:uid="{00000000-0010-0000-0000-000005000000}" name="Bar jumps"/>
    <tableColumn id="6" xr3:uid="{00000000-0010-0000-0000-000006000000}" name="Gratings"/>
    <tableColumn id="7" xr3:uid="{00000000-0010-0000-0000-000007000000}" name="Heat OL"/>
    <tableColumn id="8" xr3:uid="{00000000-0010-0000-0000-000008000000}" name="Heat barrier"/>
    <tableColumn id="9" xr3:uid="{00000000-0010-0000-0000-000009000000}" name="Heat pyramid"/>
    <tableColumn id="10" xr3:uid="{00000000-0010-0000-0000-00000A000000}" name="Heat stripe"/>
    <tableColumn id="11" xr3:uid="{00000000-0010-0000-0000-00000B000000}" name="Good behavior"/>
    <tableColumn id="12" xr3:uid="{00000000-0010-0000-0000-00000C000000}" name="Fly ide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rialRecords" displayName="TrialRecords" ref="A1:J53" totalsRowShown="0">
  <tableColumns count="10">
    <tableColumn id="1" xr3:uid="{00000000-0010-0000-0100-000001000000}" name="Trial"/>
    <tableColumn id="2" xr3:uid="{00000000-0010-0000-0100-000002000000}" name="Cell type"/>
    <tableColumn id="3" xr3:uid="{00000000-0010-0000-0100-000003000000}" name="Date"/>
    <tableColumn id="4" xr3:uid="{00000000-0010-0000-0100-000004000000}" name="Fly ID"/>
    <tableColumn id="5" xr3:uid="{00000000-0010-0000-0100-000005000000}" name="Good behavior"/>
    <tableColumn id="6" xr3:uid="{00000000-0010-0000-0100-000006000000}" name="Trial type"/>
    <tableColumn id="7" xr3:uid="{00000000-0010-0000-0100-000007000000}" name="Behavior review"/>
    <tableColumn id="8" xr3:uid="{00000000-0010-0000-0100-000008000000}" name="Fly identity basis"/>
    <tableColumn id="9" xr3:uid="{00000000-0010-0000-0100-000009000000}" name="Selection source"/>
    <tableColumn id="10" xr3:uid="{00000000-0010-0000-0100-00000A000000}" name="Recording f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65A"/>
  </sheetPr>
  <dimension ref="A2:L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D15" sqref="D15"/>
    </sheetView>
  </sheetViews>
  <sheetFormatPr baseColWidth="10" defaultColWidth="8.83203125" defaultRowHeight="14"/>
  <cols>
    <col min="1" max="1" width="31" customWidth="1"/>
    <col min="2" max="2" width="13" customWidth="1"/>
    <col min="3" max="11" width="11" customWidth="1"/>
    <col min="12" max="12" width="18" customWidth="1"/>
  </cols>
  <sheetData>
    <row r="2" spans="1:12" ht="18">
      <c r="A2" s="1" t="s">
        <v>0</v>
      </c>
    </row>
    <row r="3" spans="1:12">
      <c r="A3" s="2" t="s">
        <v>1</v>
      </c>
    </row>
    <row r="5" spans="1:12" ht="40" customHeight="1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8" t="s">
        <v>13</v>
      </c>
    </row>
    <row r="6" spans="1:12" ht="25" customHeight="1">
      <c r="A6" s="3" t="s">
        <v>14</v>
      </c>
      <c r="B6" s="4">
        <v>46223.5</v>
      </c>
      <c r="C6" s="5" t="str">
        <f>IF(COUNTIFS('Trial records'!$D$2:$D$53,$A6,'Trial records'!$E$2:$E$53,"Y",'Trial records'!$F$2:$F$53,C$5)&gt;0,"Y","N")</f>
        <v>Y</v>
      </c>
      <c r="D6" s="5" t="str">
        <f>IF(COUNTIFS('Trial records'!$D$2:$D$53,$A6,'Trial records'!$E$2:$E$53,"Y",'Trial records'!$F$2:$F$53,D$5)&gt;0,"Y","N")</f>
        <v>N</v>
      </c>
      <c r="E6" s="5" t="str">
        <f>IF(COUNTIFS('Trial records'!$D$2:$D$53,$A6,'Trial records'!$E$2:$E$53,"Y",'Trial records'!$F$2:$F$53,E$5)&gt;0,"Y","N")</f>
        <v>N</v>
      </c>
      <c r="F6" s="5" t="str">
        <f>IF(COUNTIFS('Trial records'!$D$2:$D$53,$A6,'Trial records'!$E$2:$E$53,"Y",'Trial records'!$F$2:$F$53,F$5)&gt;0,"Y","N")</f>
        <v>N</v>
      </c>
      <c r="G6" s="5" t="str">
        <f>IF(COUNTIFS('Trial records'!$D$2:$D$53,$A6,'Trial records'!$E$2:$E$53,"Y",'Trial records'!$F$2:$F$53,G$5)&gt;0,"Y","N")</f>
        <v>N</v>
      </c>
      <c r="H6" s="5" t="str">
        <f>IF(COUNTIFS('Trial records'!$D$2:$D$53,$A6,'Trial records'!$E$2:$E$53,"Y",'Trial records'!$F$2:$F$53,H$5)&gt;0,"Y","N")</f>
        <v>N</v>
      </c>
      <c r="I6" s="5" t="str">
        <f>IF(COUNTIFS('Trial records'!$D$2:$D$53,$A6,'Trial records'!$E$2:$E$53,"Y",'Trial records'!$F$2:$F$53,I$5)&gt;0,"Y","N")</f>
        <v>N</v>
      </c>
      <c r="J6" s="5" t="str">
        <f>IF(COUNTIFS('Trial records'!$D$2:$D$53,$A6,'Trial records'!$E$2:$E$53,"Y",'Trial records'!$F$2:$F$53,J$5)&gt;0,"Y","N")</f>
        <v>N</v>
      </c>
      <c r="K6" s="5" t="str">
        <f>IF(COUNTIFS('Trial records'!$D$2:$D$53,$A6,'Trial records'!$E$2:$E$53,"Y")&gt;0,"Y","N")</f>
        <v>Y</v>
      </c>
      <c r="L6" s="3" t="s">
        <v>15</v>
      </c>
    </row>
    <row r="7" spans="1:12" ht="25" customHeight="1">
      <c r="A7" s="3" t="s">
        <v>16</v>
      </c>
      <c r="B7" s="4">
        <v>46224.5</v>
      </c>
      <c r="C7" s="5" t="str">
        <f>IF(COUNTIFS('Trial records'!$D$2:$D$53,$A7,'Trial records'!$E$2:$E$53,"Y",'Trial records'!$F$2:$F$53,C$5)&gt;0,"Y","N")</f>
        <v>N</v>
      </c>
      <c r="D7" s="5" t="str">
        <f>IF(COUNTIFS('Trial records'!$D$2:$D$53,$A7,'Trial records'!$E$2:$E$53,"Y",'Trial records'!$F$2:$F$53,D$5)&gt;0,"Y","N")</f>
        <v>Y</v>
      </c>
      <c r="E7" s="5" t="str">
        <f>IF(COUNTIFS('Trial records'!$D$2:$D$53,$A7,'Trial records'!$E$2:$E$53,"Y",'Trial records'!$F$2:$F$53,E$5)&gt;0,"Y","N")</f>
        <v>N</v>
      </c>
      <c r="F7" s="5" t="str">
        <f>IF(COUNTIFS('Trial records'!$D$2:$D$53,$A7,'Trial records'!$E$2:$E$53,"Y",'Trial records'!$F$2:$F$53,F$5)&gt;0,"Y","N")</f>
        <v>N</v>
      </c>
      <c r="G7" s="5" t="str">
        <f>IF(COUNTIFS('Trial records'!$D$2:$D$53,$A7,'Trial records'!$E$2:$E$53,"Y",'Trial records'!$F$2:$F$53,G$5)&gt;0,"Y","N")</f>
        <v>Y</v>
      </c>
      <c r="H7" s="5" t="str">
        <f>IF(COUNTIFS('Trial records'!$D$2:$D$53,$A7,'Trial records'!$E$2:$E$53,"Y",'Trial records'!$F$2:$F$53,H$5)&gt;0,"Y","N")</f>
        <v>N</v>
      </c>
      <c r="I7" s="5" t="str">
        <f>IF(COUNTIFS('Trial records'!$D$2:$D$53,$A7,'Trial records'!$E$2:$E$53,"Y",'Trial records'!$F$2:$F$53,I$5)&gt;0,"Y","N")</f>
        <v>N</v>
      </c>
      <c r="J7" s="5" t="str">
        <f>IF(COUNTIFS('Trial records'!$D$2:$D$53,$A7,'Trial records'!$E$2:$E$53,"Y",'Trial records'!$F$2:$F$53,J$5)&gt;0,"Y","N")</f>
        <v>N</v>
      </c>
      <c r="K7" s="5" t="str">
        <f>IF(COUNTIFS('Trial records'!$D$2:$D$53,$A7,'Trial records'!$E$2:$E$53,"Y")&gt;0,"Y","N")</f>
        <v>Y</v>
      </c>
      <c r="L7" s="3" t="s">
        <v>15</v>
      </c>
    </row>
    <row r="8" spans="1:12" ht="25" customHeight="1">
      <c r="A8" s="3" t="s">
        <v>17</v>
      </c>
      <c r="B8" s="4">
        <v>46225.5</v>
      </c>
      <c r="C8" s="5" t="str">
        <f>IF(COUNTIFS('Trial records'!$D$2:$D$53,$A8,'Trial records'!$E$2:$E$53,"Y",'Trial records'!$F$2:$F$53,C$5)&gt;0,"Y","N")</f>
        <v>N</v>
      </c>
      <c r="D8" s="5" t="str">
        <f>IF(COUNTIFS('Trial records'!$D$2:$D$53,$A8,'Trial records'!$E$2:$E$53,"Y",'Trial records'!$F$2:$F$53,D$5)&gt;0,"Y","N")</f>
        <v>Y</v>
      </c>
      <c r="E8" s="5" t="str">
        <f>IF(COUNTIFS('Trial records'!$D$2:$D$53,$A8,'Trial records'!$E$2:$E$53,"Y",'Trial records'!$F$2:$F$53,E$5)&gt;0,"Y","N")</f>
        <v>N</v>
      </c>
      <c r="F8" s="5" t="str">
        <f>IF(COUNTIFS('Trial records'!$D$2:$D$53,$A8,'Trial records'!$E$2:$E$53,"Y",'Trial records'!$F$2:$F$53,F$5)&gt;0,"Y","N")</f>
        <v>N</v>
      </c>
      <c r="G8" s="5" t="str">
        <f>IF(COUNTIFS('Trial records'!$D$2:$D$53,$A8,'Trial records'!$E$2:$E$53,"Y",'Trial records'!$F$2:$F$53,G$5)&gt;0,"Y","N")</f>
        <v>N</v>
      </c>
      <c r="H8" s="5" t="str">
        <f>IF(COUNTIFS('Trial records'!$D$2:$D$53,$A8,'Trial records'!$E$2:$E$53,"Y",'Trial records'!$F$2:$F$53,H$5)&gt;0,"Y","N")</f>
        <v>N</v>
      </c>
      <c r="I8" s="5" t="str">
        <f>IF(COUNTIFS('Trial records'!$D$2:$D$53,$A8,'Trial records'!$E$2:$E$53,"Y",'Trial records'!$F$2:$F$53,I$5)&gt;0,"Y","N")</f>
        <v>N</v>
      </c>
      <c r="J8" s="5" t="str">
        <f>IF(COUNTIFS('Trial records'!$D$2:$D$53,$A8,'Trial records'!$E$2:$E$53,"Y",'Trial records'!$F$2:$F$53,J$5)&gt;0,"Y","N")</f>
        <v>N</v>
      </c>
      <c r="K8" s="5" t="str">
        <f>IF(COUNTIFS('Trial records'!$D$2:$D$53,$A8,'Trial records'!$E$2:$E$53,"Y")&gt;0,"Y","N")</f>
        <v>Y</v>
      </c>
      <c r="L8" s="3" t="s">
        <v>15</v>
      </c>
    </row>
    <row r="9" spans="1:12" ht="25" customHeight="1">
      <c r="A9" s="3" t="s">
        <v>18</v>
      </c>
      <c r="B9" s="4">
        <v>45881.5</v>
      </c>
      <c r="C9" s="5" t="str">
        <f>IF(COUNTIFS('Trial records'!$D$2:$D$53,$A9,'Trial records'!$E$2:$E$53,"Y",'Trial records'!$F$2:$F$53,C$5)&gt;0,"Y","N")</f>
        <v>N</v>
      </c>
      <c r="D9" s="5" t="str">
        <f>IF(COUNTIFS('Trial records'!$D$2:$D$53,$A9,'Trial records'!$E$2:$E$53,"Y",'Trial records'!$F$2:$F$53,D$5)&gt;0,"Y","N")</f>
        <v>N</v>
      </c>
      <c r="E9" s="5" t="str">
        <f>IF(COUNTIFS('Trial records'!$D$2:$D$53,$A9,'Trial records'!$E$2:$E$53,"Y",'Trial records'!$F$2:$F$53,E$5)&gt;0,"Y","N")</f>
        <v>Y</v>
      </c>
      <c r="F9" s="5" t="str">
        <f>IF(COUNTIFS('Trial records'!$D$2:$D$53,$A9,'Trial records'!$E$2:$E$53,"Y",'Trial records'!$F$2:$F$53,F$5)&gt;0,"Y","N")</f>
        <v>Y</v>
      </c>
      <c r="G9" s="5" t="str">
        <f>IF(COUNTIFS('Trial records'!$D$2:$D$53,$A9,'Trial records'!$E$2:$E$53,"Y",'Trial records'!$F$2:$F$53,G$5)&gt;0,"Y","N")</f>
        <v>N</v>
      </c>
      <c r="H9" s="5" t="str">
        <f>IF(COUNTIFS('Trial records'!$D$2:$D$53,$A9,'Trial records'!$E$2:$E$53,"Y",'Trial records'!$F$2:$F$53,H$5)&gt;0,"Y","N")</f>
        <v>N</v>
      </c>
      <c r="I9" s="5" t="str">
        <f>IF(COUNTIFS('Trial records'!$D$2:$D$53,$A9,'Trial records'!$E$2:$E$53,"Y",'Trial records'!$F$2:$F$53,I$5)&gt;0,"Y","N")</f>
        <v>N</v>
      </c>
      <c r="J9" s="5" t="str">
        <f>IF(COUNTIFS('Trial records'!$D$2:$D$53,$A9,'Trial records'!$E$2:$E$53,"Y",'Trial records'!$F$2:$F$53,J$5)&gt;0,"Y","N")</f>
        <v>N</v>
      </c>
      <c r="K9" s="5" t="str">
        <f>IF(COUNTIFS('Trial records'!$D$2:$D$53,$A9,'Trial records'!$E$2:$E$53,"Y")&gt;0,"Y","N")</f>
        <v>Y</v>
      </c>
      <c r="L9" s="3" t="s">
        <v>15</v>
      </c>
    </row>
    <row r="10" spans="1:12" ht="25" customHeight="1">
      <c r="A10" s="3" t="s">
        <v>19</v>
      </c>
      <c r="B10" s="4">
        <v>45882.5</v>
      </c>
      <c r="C10" s="5" t="str">
        <f>IF(COUNTIFS('Trial records'!$D$2:$D$53,$A10,'Trial records'!$E$2:$E$53,"Y",'Trial records'!$F$2:$F$53,C$5)&gt;0,"Y","N")</f>
        <v>N</v>
      </c>
      <c r="D10" s="5" t="str">
        <f>IF(COUNTIFS('Trial records'!$D$2:$D$53,$A10,'Trial records'!$E$2:$E$53,"Y",'Trial records'!$F$2:$F$53,D$5)&gt;0,"Y","N")</f>
        <v>N</v>
      </c>
      <c r="E10" s="5" t="str">
        <f>IF(COUNTIFS('Trial records'!$D$2:$D$53,$A10,'Trial records'!$E$2:$E$53,"Y",'Trial records'!$F$2:$F$53,E$5)&gt;0,"Y","N")</f>
        <v>N</v>
      </c>
      <c r="F10" s="5" t="str">
        <f>IF(COUNTIFS('Trial records'!$D$2:$D$53,$A10,'Trial records'!$E$2:$E$53,"Y",'Trial records'!$F$2:$F$53,F$5)&gt;0,"Y","N")</f>
        <v>Y</v>
      </c>
      <c r="G10" s="5" t="str">
        <f>IF(COUNTIFS('Trial records'!$D$2:$D$53,$A10,'Trial records'!$E$2:$E$53,"Y",'Trial records'!$F$2:$F$53,G$5)&gt;0,"Y","N")</f>
        <v>N</v>
      </c>
      <c r="H10" s="5" t="str">
        <f>IF(COUNTIFS('Trial records'!$D$2:$D$53,$A10,'Trial records'!$E$2:$E$53,"Y",'Trial records'!$F$2:$F$53,H$5)&gt;0,"Y","N")</f>
        <v>N</v>
      </c>
      <c r="I10" s="5" t="str">
        <f>IF(COUNTIFS('Trial records'!$D$2:$D$53,$A10,'Trial records'!$E$2:$E$53,"Y",'Trial records'!$F$2:$F$53,I$5)&gt;0,"Y","N")</f>
        <v>N</v>
      </c>
      <c r="J10" s="5" t="str">
        <f>IF(COUNTIFS('Trial records'!$D$2:$D$53,$A10,'Trial records'!$E$2:$E$53,"Y",'Trial records'!$F$2:$F$53,J$5)&gt;0,"Y","N")</f>
        <v>N</v>
      </c>
      <c r="K10" s="5" t="str">
        <f>IF(COUNTIFS('Trial records'!$D$2:$D$53,$A10,'Trial records'!$E$2:$E$53,"Y")&gt;0,"Y","N")</f>
        <v>Y</v>
      </c>
      <c r="L10" s="3" t="s">
        <v>15</v>
      </c>
    </row>
    <row r="11" spans="1:12" ht="25" customHeight="1">
      <c r="A11" s="3" t="s">
        <v>20</v>
      </c>
      <c r="B11" s="4">
        <v>45888.5</v>
      </c>
      <c r="C11" s="5" t="str">
        <f>IF(COUNTIFS('Trial records'!$D$2:$D$53,$A11,'Trial records'!$E$2:$E$53,"Y",'Trial records'!$F$2:$F$53,C$5)&gt;0,"Y","N")</f>
        <v>N</v>
      </c>
      <c r="D11" s="5" t="str">
        <f>IF(COUNTIFS('Trial records'!$D$2:$D$53,$A11,'Trial records'!$E$2:$E$53,"Y",'Trial records'!$F$2:$F$53,D$5)&gt;0,"Y","N")</f>
        <v>N</v>
      </c>
      <c r="E11" s="5" t="str">
        <f>IF(COUNTIFS('Trial records'!$D$2:$D$53,$A11,'Trial records'!$E$2:$E$53,"Y",'Trial records'!$F$2:$F$53,E$5)&gt;0,"Y","N")</f>
        <v>N</v>
      </c>
      <c r="F11" s="5" t="str">
        <f>IF(COUNTIFS('Trial records'!$D$2:$D$53,$A11,'Trial records'!$E$2:$E$53,"Y",'Trial records'!$F$2:$F$53,F$5)&gt;0,"Y","N")</f>
        <v>Y</v>
      </c>
      <c r="G11" s="5" t="str">
        <f>IF(COUNTIFS('Trial records'!$D$2:$D$53,$A11,'Trial records'!$E$2:$E$53,"Y",'Trial records'!$F$2:$F$53,G$5)&gt;0,"Y","N")</f>
        <v>N</v>
      </c>
      <c r="H11" s="5" t="str">
        <f>IF(COUNTIFS('Trial records'!$D$2:$D$53,$A11,'Trial records'!$E$2:$E$53,"Y",'Trial records'!$F$2:$F$53,H$5)&gt;0,"Y","N")</f>
        <v>N</v>
      </c>
      <c r="I11" s="5" t="str">
        <f>IF(COUNTIFS('Trial records'!$D$2:$D$53,$A11,'Trial records'!$E$2:$E$53,"Y",'Trial records'!$F$2:$F$53,I$5)&gt;0,"Y","N")</f>
        <v>N</v>
      </c>
      <c r="J11" s="5" t="str">
        <f>IF(COUNTIFS('Trial records'!$D$2:$D$53,$A11,'Trial records'!$E$2:$E$53,"Y",'Trial records'!$F$2:$F$53,J$5)&gt;0,"Y","N")</f>
        <v>N</v>
      </c>
      <c r="K11" s="5" t="str">
        <f>IF(COUNTIFS('Trial records'!$D$2:$D$53,$A11,'Trial records'!$E$2:$E$53,"Y")&gt;0,"Y","N")</f>
        <v>Y</v>
      </c>
      <c r="L11" s="3" t="s">
        <v>15</v>
      </c>
    </row>
    <row r="12" spans="1:12" ht="25" customHeight="1">
      <c r="A12" s="3" t="s">
        <v>21</v>
      </c>
      <c r="B12" s="4">
        <v>45931.5</v>
      </c>
      <c r="C12" s="5" t="str">
        <f>IF(COUNTIFS('Trial records'!$D$2:$D$53,$A12,'Trial records'!$E$2:$E$53,"Y",'Trial records'!$F$2:$F$53,C$5)&gt;0,"Y","N")</f>
        <v>N</v>
      </c>
      <c r="D12" s="5" t="str">
        <f>IF(COUNTIFS('Trial records'!$D$2:$D$53,$A12,'Trial records'!$E$2:$E$53,"Y",'Trial records'!$F$2:$F$53,D$5)&gt;0,"Y","N")</f>
        <v>N</v>
      </c>
      <c r="E12" s="5" t="str">
        <f>IF(COUNTIFS('Trial records'!$D$2:$D$53,$A12,'Trial records'!$E$2:$E$53,"Y",'Trial records'!$F$2:$F$53,E$5)&gt;0,"Y","N")</f>
        <v>N</v>
      </c>
      <c r="F12" s="5" t="str">
        <f>IF(COUNTIFS('Trial records'!$D$2:$D$53,$A12,'Trial records'!$E$2:$E$53,"Y",'Trial records'!$F$2:$F$53,F$5)&gt;0,"Y","N")</f>
        <v>N</v>
      </c>
      <c r="G12" s="5" t="str">
        <f>IF(COUNTIFS('Trial records'!$D$2:$D$53,$A12,'Trial records'!$E$2:$E$53,"Y",'Trial records'!$F$2:$F$53,G$5)&gt;0,"Y","N")</f>
        <v>N</v>
      </c>
      <c r="H12" s="5" t="str">
        <f>IF(COUNTIFS('Trial records'!$D$2:$D$53,$A12,'Trial records'!$E$2:$E$53,"Y",'Trial records'!$F$2:$F$53,H$5)&gt;0,"Y","N")</f>
        <v>N</v>
      </c>
      <c r="I12" s="5" t="str">
        <f>IF(COUNTIFS('Trial records'!$D$2:$D$53,$A12,'Trial records'!$E$2:$E$53,"Y",'Trial records'!$F$2:$F$53,I$5)&gt;0,"Y","N")</f>
        <v>N</v>
      </c>
      <c r="J12" s="5" t="str">
        <f>IF(COUNTIFS('Trial records'!$D$2:$D$53,$A12,'Trial records'!$E$2:$E$53,"Y",'Trial records'!$F$2:$F$53,J$5)&gt;0,"Y","N")</f>
        <v>N</v>
      </c>
      <c r="K12" s="5" t="str">
        <f>IF(COUNTIFS('Trial records'!$D$2:$D$53,$A12,'Trial records'!$E$2:$E$53,"Y")&gt;0,"Y","N")</f>
        <v>N</v>
      </c>
      <c r="L12" s="3" t="s">
        <v>15</v>
      </c>
    </row>
    <row r="13" spans="1:12" ht="25" customHeight="1">
      <c r="A13" s="3" t="s">
        <v>22</v>
      </c>
      <c r="B13" s="4">
        <v>46066.5</v>
      </c>
      <c r="C13" s="5" t="str">
        <f>IF(COUNTIFS('Trial records'!$D$2:$D$53,$A13,'Trial records'!$E$2:$E$53,"Y",'Trial records'!$F$2:$F$53,C$5)&gt;0,"Y","N")</f>
        <v>N</v>
      </c>
      <c r="D13" s="5" t="str">
        <f>IF(COUNTIFS('Trial records'!$D$2:$D$53,$A13,'Trial records'!$E$2:$E$53,"Y",'Trial records'!$F$2:$F$53,D$5)&gt;0,"Y","N")</f>
        <v>N</v>
      </c>
      <c r="E13" s="5" t="str">
        <f>IF(COUNTIFS('Trial records'!$D$2:$D$53,$A13,'Trial records'!$E$2:$E$53,"Y",'Trial records'!$F$2:$F$53,E$5)&gt;0,"Y","N")</f>
        <v>N</v>
      </c>
      <c r="F13" s="5" t="str">
        <f>IF(COUNTIFS('Trial records'!$D$2:$D$53,$A13,'Trial records'!$E$2:$E$53,"Y",'Trial records'!$F$2:$F$53,F$5)&gt;0,"Y","N")</f>
        <v>N</v>
      </c>
      <c r="G13" s="5" t="str">
        <f>IF(COUNTIFS('Trial records'!$D$2:$D$53,$A13,'Trial records'!$E$2:$E$53,"Y",'Trial records'!$F$2:$F$53,G$5)&gt;0,"Y","N")</f>
        <v>N</v>
      </c>
      <c r="H13" s="5" t="str">
        <f>IF(COUNTIFS('Trial records'!$D$2:$D$53,$A13,'Trial records'!$E$2:$E$53,"Y",'Trial records'!$F$2:$F$53,H$5)&gt;0,"Y","N")</f>
        <v>N</v>
      </c>
      <c r="I13" s="5" t="str">
        <f>IF(COUNTIFS('Trial records'!$D$2:$D$53,$A13,'Trial records'!$E$2:$E$53,"Y",'Trial records'!$F$2:$F$53,I$5)&gt;0,"Y","N")</f>
        <v>N</v>
      </c>
      <c r="J13" s="5" t="str">
        <f>IF(COUNTIFS('Trial records'!$D$2:$D$53,$A13,'Trial records'!$E$2:$E$53,"Y",'Trial records'!$F$2:$F$53,J$5)&gt;0,"Y","N")</f>
        <v>N</v>
      </c>
      <c r="K13" s="5" t="str">
        <f>IF(COUNTIFS('Trial records'!$D$2:$D$53,$A13,'Trial records'!$E$2:$E$53,"Y")&gt;0,"Y","N")</f>
        <v>N</v>
      </c>
      <c r="L13" s="3" t="s">
        <v>23</v>
      </c>
    </row>
    <row r="14" spans="1:12" ht="25" customHeight="1">
      <c r="A14" s="3" t="s">
        <v>24</v>
      </c>
      <c r="B14" s="4">
        <v>46066.5</v>
      </c>
      <c r="C14" s="5" t="str">
        <f>IF(COUNTIFS('Trial records'!$D$2:$D$53,$A14,'Trial records'!$E$2:$E$53,"Y",'Trial records'!$F$2:$F$53,C$5)&gt;0,"Y","N")</f>
        <v>N</v>
      </c>
      <c r="D14" s="5" t="str">
        <f>IF(COUNTIFS('Trial records'!$D$2:$D$53,$A14,'Trial records'!$E$2:$E$53,"Y",'Trial records'!$F$2:$F$53,D$5)&gt;0,"Y","N")</f>
        <v>N</v>
      </c>
      <c r="E14" s="5" t="str">
        <f>IF(COUNTIFS('Trial records'!$D$2:$D$53,$A14,'Trial records'!$E$2:$E$53,"Y",'Trial records'!$F$2:$F$53,E$5)&gt;0,"Y","N")</f>
        <v>N</v>
      </c>
      <c r="F14" s="5" t="str">
        <f>IF(COUNTIFS('Trial records'!$D$2:$D$53,$A14,'Trial records'!$E$2:$E$53,"Y",'Trial records'!$F$2:$F$53,F$5)&gt;0,"Y","N")</f>
        <v>N</v>
      </c>
      <c r="G14" s="5" t="str">
        <f>IF(COUNTIFS('Trial records'!$D$2:$D$53,$A14,'Trial records'!$E$2:$E$53,"Y",'Trial records'!$F$2:$F$53,G$5)&gt;0,"Y","N")</f>
        <v>N</v>
      </c>
      <c r="H14" s="5" t="str">
        <f>IF(COUNTIFS('Trial records'!$D$2:$D$53,$A14,'Trial records'!$E$2:$E$53,"Y",'Trial records'!$F$2:$F$53,H$5)&gt;0,"Y","N")</f>
        <v>N</v>
      </c>
      <c r="I14" s="5" t="str">
        <f>IF(COUNTIFS('Trial records'!$D$2:$D$53,$A14,'Trial records'!$E$2:$E$53,"Y",'Trial records'!$F$2:$F$53,I$5)&gt;0,"Y","N")</f>
        <v>N</v>
      </c>
      <c r="J14" s="5" t="str">
        <f>IF(COUNTIFS('Trial records'!$D$2:$D$53,$A14,'Trial records'!$E$2:$E$53,"Y",'Trial records'!$F$2:$F$53,J$5)&gt;0,"Y","N")</f>
        <v>N</v>
      </c>
      <c r="K14" s="5" t="str">
        <f>IF(COUNTIFS('Trial records'!$D$2:$D$53,$A14,'Trial records'!$E$2:$E$53,"Y")&gt;0,"Y","N")</f>
        <v>N</v>
      </c>
      <c r="L14" s="3" t="s">
        <v>15</v>
      </c>
    </row>
    <row r="15" spans="1:12" ht="25" customHeight="1">
      <c r="A15" s="3" t="s">
        <v>25</v>
      </c>
      <c r="B15" s="4">
        <v>46070.5</v>
      </c>
      <c r="C15" s="5" t="str">
        <f>IF(COUNTIFS('Trial records'!$D$2:$D$53,$A15,'Trial records'!$E$2:$E$53,"Y",'Trial records'!$F$2:$F$53,C$5)&gt;0,"Y","N")</f>
        <v>Y</v>
      </c>
      <c r="D15" s="5" t="str">
        <f>IF(COUNTIFS('Trial records'!$D$2:$D$53,$A15,'Trial records'!$E$2:$E$53,"Y",'Trial records'!$F$2:$F$53,D$5)&gt;0,"Y","N")</f>
        <v>Y</v>
      </c>
      <c r="E15" s="5" t="str">
        <f>IF(COUNTIFS('Trial records'!$D$2:$D$53,$A15,'Trial records'!$E$2:$E$53,"Y",'Trial records'!$F$2:$F$53,E$5)&gt;0,"Y","N")</f>
        <v>N</v>
      </c>
      <c r="F15" s="5" t="str">
        <f>IF(COUNTIFS('Trial records'!$D$2:$D$53,$A15,'Trial records'!$E$2:$E$53,"Y",'Trial records'!$F$2:$F$53,F$5)&gt;0,"Y","N")</f>
        <v>N</v>
      </c>
      <c r="G15" s="5" t="str">
        <f>IF(COUNTIFS('Trial records'!$D$2:$D$53,$A15,'Trial records'!$E$2:$E$53,"Y",'Trial records'!$F$2:$F$53,G$5)&gt;0,"Y","N")</f>
        <v>N</v>
      </c>
      <c r="H15" s="5" t="str">
        <f>IF(COUNTIFS('Trial records'!$D$2:$D$53,$A15,'Trial records'!$E$2:$E$53,"Y",'Trial records'!$F$2:$F$53,H$5)&gt;0,"Y","N")</f>
        <v>N</v>
      </c>
      <c r="I15" s="5" t="str">
        <f>IF(COUNTIFS('Trial records'!$D$2:$D$53,$A15,'Trial records'!$E$2:$E$53,"Y",'Trial records'!$F$2:$F$53,I$5)&gt;0,"Y","N")</f>
        <v>N</v>
      </c>
      <c r="J15" s="5" t="str">
        <f>IF(COUNTIFS('Trial records'!$D$2:$D$53,$A15,'Trial records'!$E$2:$E$53,"Y",'Trial records'!$F$2:$F$53,J$5)&gt;0,"Y","N")</f>
        <v>N</v>
      </c>
      <c r="K15" s="5" t="str">
        <f>IF(COUNTIFS('Trial records'!$D$2:$D$53,$A15,'Trial records'!$E$2:$E$53,"Y")&gt;0,"Y","N")</f>
        <v>Y</v>
      </c>
      <c r="L15" s="3" t="s">
        <v>23</v>
      </c>
    </row>
    <row r="16" spans="1:12" ht="25" customHeight="1">
      <c r="A16" s="3" t="s">
        <v>26</v>
      </c>
      <c r="B16" s="4">
        <v>46092.5</v>
      </c>
      <c r="C16" s="5" t="str">
        <f>IF(COUNTIFS('Trial records'!$D$2:$D$53,$A16,'Trial records'!$E$2:$E$53,"Y",'Trial records'!$F$2:$F$53,C$5)&gt;0,"Y","N")</f>
        <v>N</v>
      </c>
      <c r="D16" s="5" t="str">
        <f>IF(COUNTIFS('Trial records'!$D$2:$D$53,$A16,'Trial records'!$E$2:$E$53,"Y",'Trial records'!$F$2:$F$53,D$5)&gt;0,"Y","N")</f>
        <v>Y</v>
      </c>
      <c r="E16" s="5" t="str">
        <f>IF(COUNTIFS('Trial records'!$D$2:$D$53,$A16,'Trial records'!$E$2:$E$53,"Y",'Trial records'!$F$2:$F$53,E$5)&gt;0,"Y","N")</f>
        <v>N</v>
      </c>
      <c r="F16" s="5" t="str">
        <f>IF(COUNTIFS('Trial records'!$D$2:$D$53,$A16,'Trial records'!$E$2:$E$53,"Y",'Trial records'!$F$2:$F$53,F$5)&gt;0,"Y","N")</f>
        <v>N</v>
      </c>
      <c r="G16" s="5" t="str">
        <f>IF(COUNTIFS('Trial records'!$D$2:$D$53,$A16,'Trial records'!$E$2:$E$53,"Y",'Trial records'!$F$2:$F$53,G$5)&gt;0,"Y","N")</f>
        <v>N</v>
      </c>
      <c r="H16" s="5" t="str">
        <f>IF(COUNTIFS('Trial records'!$D$2:$D$53,$A16,'Trial records'!$E$2:$E$53,"Y",'Trial records'!$F$2:$F$53,H$5)&gt;0,"Y","N")</f>
        <v>N</v>
      </c>
      <c r="I16" s="5" t="str">
        <f>IF(COUNTIFS('Trial records'!$D$2:$D$53,$A16,'Trial records'!$E$2:$E$53,"Y",'Trial records'!$F$2:$F$53,I$5)&gt;0,"Y","N")</f>
        <v>N</v>
      </c>
      <c r="J16" s="5" t="str">
        <f>IF(COUNTIFS('Trial records'!$D$2:$D$53,$A16,'Trial records'!$E$2:$E$53,"Y",'Trial records'!$F$2:$F$53,J$5)&gt;0,"Y","N")</f>
        <v>N</v>
      </c>
      <c r="K16" s="5" t="str">
        <f>IF(COUNTIFS('Trial records'!$D$2:$D$53,$A16,'Trial records'!$E$2:$E$53,"Y")&gt;0,"Y","N")</f>
        <v>Y</v>
      </c>
      <c r="L16" s="3" t="s">
        <v>23</v>
      </c>
    </row>
    <row r="17" spans="1:12" ht="25" customHeight="1">
      <c r="A17" s="3" t="s">
        <v>27</v>
      </c>
      <c r="B17" s="4">
        <v>46094.5</v>
      </c>
      <c r="C17" s="5" t="str">
        <f>IF(COUNTIFS('Trial records'!$D$2:$D$53,$A17,'Trial records'!$E$2:$E$53,"Y",'Trial records'!$F$2:$F$53,C$5)&gt;0,"Y","N")</f>
        <v>N</v>
      </c>
      <c r="D17" s="5" t="str">
        <f>IF(COUNTIFS('Trial records'!$D$2:$D$53,$A17,'Trial records'!$E$2:$E$53,"Y",'Trial records'!$F$2:$F$53,D$5)&gt;0,"Y","N")</f>
        <v>Y</v>
      </c>
      <c r="E17" s="5" t="str">
        <f>IF(COUNTIFS('Trial records'!$D$2:$D$53,$A17,'Trial records'!$E$2:$E$53,"Y",'Trial records'!$F$2:$F$53,E$5)&gt;0,"Y","N")</f>
        <v>N</v>
      </c>
      <c r="F17" s="5" t="str">
        <f>IF(COUNTIFS('Trial records'!$D$2:$D$53,$A17,'Trial records'!$E$2:$E$53,"Y",'Trial records'!$F$2:$F$53,F$5)&gt;0,"Y","N")</f>
        <v>N</v>
      </c>
      <c r="G17" s="5" t="str">
        <f>IF(COUNTIFS('Trial records'!$D$2:$D$53,$A17,'Trial records'!$E$2:$E$53,"Y",'Trial records'!$F$2:$F$53,G$5)&gt;0,"Y","N")</f>
        <v>N</v>
      </c>
      <c r="H17" s="5" t="str">
        <f>IF(COUNTIFS('Trial records'!$D$2:$D$53,$A17,'Trial records'!$E$2:$E$53,"Y",'Trial records'!$F$2:$F$53,H$5)&gt;0,"Y","N")</f>
        <v>N</v>
      </c>
      <c r="I17" s="5" t="str">
        <f>IF(COUNTIFS('Trial records'!$D$2:$D$53,$A17,'Trial records'!$E$2:$E$53,"Y",'Trial records'!$F$2:$F$53,I$5)&gt;0,"Y","N")</f>
        <v>N</v>
      </c>
      <c r="J17" s="5" t="str">
        <f>IF(COUNTIFS('Trial records'!$D$2:$D$53,$A17,'Trial records'!$E$2:$E$53,"Y",'Trial records'!$F$2:$F$53,J$5)&gt;0,"Y","N")</f>
        <v>N</v>
      </c>
      <c r="K17" s="5" t="str">
        <f>IF(COUNTIFS('Trial records'!$D$2:$D$53,$A17,'Trial records'!$E$2:$E$53,"Y")&gt;0,"Y","N")</f>
        <v>Y</v>
      </c>
      <c r="L17" s="3" t="s">
        <v>23</v>
      </c>
    </row>
    <row r="18" spans="1:12" ht="25" customHeight="1">
      <c r="A18" s="3" t="s">
        <v>28</v>
      </c>
      <c r="B18" s="4">
        <v>46099.5</v>
      </c>
      <c r="C18" s="5" t="str">
        <f>IF(COUNTIFS('Trial records'!$D$2:$D$53,$A18,'Trial records'!$E$2:$E$53,"Y",'Trial records'!$F$2:$F$53,C$5)&gt;0,"Y","N")</f>
        <v>N</v>
      </c>
      <c r="D18" s="5" t="str">
        <f>IF(COUNTIFS('Trial records'!$D$2:$D$53,$A18,'Trial records'!$E$2:$E$53,"Y",'Trial records'!$F$2:$F$53,D$5)&gt;0,"Y","N")</f>
        <v>N</v>
      </c>
      <c r="E18" s="5" t="str">
        <f>IF(COUNTIFS('Trial records'!$D$2:$D$53,$A18,'Trial records'!$E$2:$E$53,"Y",'Trial records'!$F$2:$F$53,E$5)&gt;0,"Y","N")</f>
        <v>N</v>
      </c>
      <c r="F18" s="5" t="str">
        <f>IF(COUNTIFS('Trial records'!$D$2:$D$53,$A18,'Trial records'!$E$2:$E$53,"Y",'Trial records'!$F$2:$F$53,F$5)&gt;0,"Y","N")</f>
        <v>N</v>
      </c>
      <c r="G18" s="5" t="str">
        <f>IF(COUNTIFS('Trial records'!$D$2:$D$53,$A18,'Trial records'!$E$2:$E$53,"Y",'Trial records'!$F$2:$F$53,G$5)&gt;0,"Y","N")</f>
        <v>N</v>
      </c>
      <c r="H18" s="5" t="str">
        <f>IF(COUNTIFS('Trial records'!$D$2:$D$53,$A18,'Trial records'!$E$2:$E$53,"Y",'Trial records'!$F$2:$F$53,H$5)&gt;0,"Y","N")</f>
        <v>N</v>
      </c>
      <c r="I18" s="5" t="str">
        <f>IF(COUNTIFS('Trial records'!$D$2:$D$53,$A18,'Trial records'!$E$2:$E$53,"Y",'Trial records'!$F$2:$F$53,I$5)&gt;0,"Y","N")</f>
        <v>N</v>
      </c>
      <c r="J18" s="5" t="str">
        <f>IF(COUNTIFS('Trial records'!$D$2:$D$53,$A18,'Trial records'!$E$2:$E$53,"Y",'Trial records'!$F$2:$F$53,J$5)&gt;0,"Y","N")</f>
        <v>N</v>
      </c>
      <c r="K18" s="5" t="str">
        <f>IF(COUNTIFS('Trial records'!$D$2:$D$53,$A18,'Trial records'!$E$2:$E$53,"Y")&gt;0,"Y","N")</f>
        <v>Y</v>
      </c>
      <c r="L18" s="3" t="s">
        <v>23</v>
      </c>
    </row>
    <row r="19" spans="1:12" ht="25" customHeight="1">
      <c r="A19" s="3" t="s">
        <v>29</v>
      </c>
      <c r="B19" s="4">
        <v>46139.5</v>
      </c>
      <c r="C19" s="5" t="str">
        <f>IF(COUNTIFS('Trial records'!$D$2:$D$53,$A19,'Trial records'!$E$2:$E$53,"Y",'Trial records'!$F$2:$F$53,C$5)&gt;0,"Y","N")</f>
        <v>N</v>
      </c>
      <c r="D19" s="5" t="str">
        <f>IF(COUNTIFS('Trial records'!$D$2:$D$53,$A19,'Trial records'!$E$2:$E$53,"Y",'Trial records'!$F$2:$F$53,D$5)&gt;0,"Y","N")</f>
        <v>N</v>
      </c>
      <c r="E19" s="5" t="str">
        <f>IF(COUNTIFS('Trial records'!$D$2:$D$53,$A19,'Trial records'!$E$2:$E$53,"Y",'Trial records'!$F$2:$F$53,E$5)&gt;0,"Y","N")</f>
        <v>N</v>
      </c>
      <c r="F19" s="5" t="str">
        <f>IF(COUNTIFS('Trial records'!$D$2:$D$53,$A19,'Trial records'!$E$2:$E$53,"Y",'Trial records'!$F$2:$F$53,F$5)&gt;0,"Y","N")</f>
        <v>N</v>
      </c>
      <c r="G19" s="5" t="str">
        <f>IF(COUNTIFS('Trial records'!$D$2:$D$53,$A19,'Trial records'!$E$2:$E$53,"Y",'Trial records'!$F$2:$F$53,G$5)&gt;0,"Y","N")</f>
        <v>N</v>
      </c>
      <c r="H19" s="5" t="str">
        <f>IF(COUNTIFS('Trial records'!$D$2:$D$53,$A19,'Trial records'!$E$2:$E$53,"Y",'Trial records'!$F$2:$F$53,H$5)&gt;0,"Y","N")</f>
        <v>Y</v>
      </c>
      <c r="I19" s="5" t="str">
        <f>IF(COUNTIFS('Trial records'!$D$2:$D$53,$A19,'Trial records'!$E$2:$E$53,"Y",'Trial records'!$F$2:$F$53,I$5)&gt;0,"Y","N")</f>
        <v>N</v>
      </c>
      <c r="J19" s="5" t="str">
        <f>IF(COUNTIFS('Trial records'!$D$2:$D$53,$A19,'Trial records'!$E$2:$E$53,"Y",'Trial records'!$F$2:$F$53,J$5)&gt;0,"Y","N")</f>
        <v>N</v>
      </c>
      <c r="K19" s="5" t="str">
        <f>IF(COUNTIFS('Trial records'!$D$2:$D$53,$A19,'Trial records'!$E$2:$E$53,"Y")&gt;0,"Y","N")</f>
        <v>Y</v>
      </c>
      <c r="L19" s="3" t="s">
        <v>15</v>
      </c>
    </row>
    <row r="20" spans="1:12" ht="25" customHeight="1">
      <c r="A20" s="3" t="s">
        <v>30</v>
      </c>
      <c r="B20" s="4">
        <v>46139.5</v>
      </c>
      <c r="C20" s="5" t="str">
        <f>IF(COUNTIFS('Trial records'!$D$2:$D$53,$A20,'Trial records'!$E$2:$E$53,"Y",'Trial records'!$F$2:$F$53,C$5)&gt;0,"Y","N")</f>
        <v>N</v>
      </c>
      <c r="D20" s="5" t="str">
        <f>IF(COUNTIFS('Trial records'!$D$2:$D$53,$A20,'Trial records'!$E$2:$E$53,"Y",'Trial records'!$F$2:$F$53,D$5)&gt;0,"Y","N")</f>
        <v>N</v>
      </c>
      <c r="E20" s="5" t="str">
        <f>IF(COUNTIFS('Trial records'!$D$2:$D$53,$A20,'Trial records'!$E$2:$E$53,"Y",'Trial records'!$F$2:$F$53,E$5)&gt;0,"Y","N")</f>
        <v>N</v>
      </c>
      <c r="F20" s="5" t="str">
        <f>IF(COUNTIFS('Trial records'!$D$2:$D$53,$A20,'Trial records'!$E$2:$E$53,"Y",'Trial records'!$F$2:$F$53,F$5)&gt;0,"Y","N")</f>
        <v>N</v>
      </c>
      <c r="G20" s="5" t="str">
        <f>IF(COUNTIFS('Trial records'!$D$2:$D$53,$A20,'Trial records'!$E$2:$E$53,"Y",'Trial records'!$F$2:$F$53,G$5)&gt;0,"Y","N")</f>
        <v>N</v>
      </c>
      <c r="H20" s="5" t="str">
        <f>IF(COUNTIFS('Trial records'!$D$2:$D$53,$A20,'Trial records'!$E$2:$E$53,"Y",'Trial records'!$F$2:$F$53,H$5)&gt;0,"Y","N")</f>
        <v>Y</v>
      </c>
      <c r="I20" s="5" t="str">
        <f>IF(COUNTIFS('Trial records'!$D$2:$D$53,$A20,'Trial records'!$E$2:$E$53,"Y",'Trial records'!$F$2:$F$53,I$5)&gt;0,"Y","N")</f>
        <v>N</v>
      </c>
      <c r="J20" s="5" t="str">
        <f>IF(COUNTIFS('Trial records'!$D$2:$D$53,$A20,'Trial records'!$E$2:$E$53,"Y",'Trial records'!$F$2:$F$53,J$5)&gt;0,"Y","N")</f>
        <v>N</v>
      </c>
      <c r="K20" s="5" t="str">
        <f>IF(COUNTIFS('Trial records'!$D$2:$D$53,$A20,'Trial records'!$E$2:$E$53,"Y")&gt;0,"Y","N")</f>
        <v>Y</v>
      </c>
      <c r="L20" s="3" t="s">
        <v>15</v>
      </c>
    </row>
    <row r="21" spans="1:12" ht="25" customHeight="1">
      <c r="A21" s="3" t="s">
        <v>31</v>
      </c>
      <c r="B21" s="4">
        <v>46314.5</v>
      </c>
      <c r="C21" s="5" t="str">
        <f>IF(COUNTIFS('Trial records'!$D$2:$D$53,$A21,'Trial records'!$E$2:$E$53,"Y",'Trial records'!$F$2:$F$53,C$5)&gt;0,"Y","N")</f>
        <v>N</v>
      </c>
      <c r="D21" s="5" t="str">
        <f>IF(COUNTIFS('Trial records'!$D$2:$D$53,$A21,'Trial records'!$E$2:$E$53,"Y",'Trial records'!$F$2:$F$53,D$5)&gt;0,"Y","N")</f>
        <v>N</v>
      </c>
      <c r="E21" s="5" t="str">
        <f>IF(COUNTIFS('Trial records'!$D$2:$D$53,$A21,'Trial records'!$E$2:$E$53,"Y",'Trial records'!$F$2:$F$53,E$5)&gt;0,"Y","N")</f>
        <v>Y</v>
      </c>
      <c r="F21" s="5" t="str">
        <f>IF(COUNTIFS('Trial records'!$D$2:$D$53,$A21,'Trial records'!$E$2:$E$53,"Y",'Trial records'!$F$2:$F$53,F$5)&gt;0,"Y","N")</f>
        <v>N</v>
      </c>
      <c r="G21" s="5" t="str">
        <f>IF(COUNTIFS('Trial records'!$D$2:$D$53,$A21,'Trial records'!$E$2:$E$53,"Y",'Trial records'!$F$2:$F$53,G$5)&gt;0,"Y","N")</f>
        <v>N</v>
      </c>
      <c r="H21" s="5" t="str">
        <f>IF(COUNTIFS('Trial records'!$D$2:$D$53,$A21,'Trial records'!$E$2:$E$53,"Y",'Trial records'!$F$2:$F$53,H$5)&gt;0,"Y","N")</f>
        <v>Y</v>
      </c>
      <c r="I21" s="5" t="str">
        <f>IF(COUNTIFS('Trial records'!$D$2:$D$53,$A21,'Trial records'!$E$2:$E$53,"Y",'Trial records'!$F$2:$F$53,I$5)&gt;0,"Y","N")</f>
        <v>N</v>
      </c>
      <c r="J21" s="5" t="str">
        <f>IF(COUNTIFS('Trial records'!$D$2:$D$53,$A21,'Trial records'!$E$2:$E$53,"Y",'Trial records'!$F$2:$F$53,J$5)&gt;0,"Y","N")</f>
        <v>Y</v>
      </c>
      <c r="K21" s="5" t="str">
        <f>IF(COUNTIFS('Trial records'!$D$2:$D$53,$A21,'Trial records'!$E$2:$E$53,"Y")&gt;0,"Y","N")</f>
        <v>Y</v>
      </c>
      <c r="L21" s="3" t="s">
        <v>32</v>
      </c>
    </row>
    <row r="22" spans="1:12" ht="25" customHeight="1">
      <c r="A22" s="3" t="s">
        <v>33</v>
      </c>
      <c r="B22" s="4">
        <v>46315.5</v>
      </c>
      <c r="C22" s="5" t="str">
        <f>IF(COUNTIFS('Trial records'!$D$2:$D$53,$A22,'Trial records'!$E$2:$E$53,"Y",'Trial records'!$F$2:$F$53,C$5)&gt;0,"Y","N")</f>
        <v>Y</v>
      </c>
      <c r="D22" s="5" t="str">
        <f>IF(COUNTIFS('Trial records'!$D$2:$D$53,$A22,'Trial records'!$E$2:$E$53,"Y",'Trial records'!$F$2:$F$53,D$5)&gt;0,"Y","N")</f>
        <v>N</v>
      </c>
      <c r="E22" s="5" t="str">
        <f>IF(COUNTIFS('Trial records'!$D$2:$D$53,$A22,'Trial records'!$E$2:$E$53,"Y",'Trial records'!$F$2:$F$53,E$5)&gt;0,"Y","N")</f>
        <v>Y</v>
      </c>
      <c r="F22" s="5" t="str">
        <f>IF(COUNTIFS('Trial records'!$D$2:$D$53,$A22,'Trial records'!$E$2:$E$53,"Y",'Trial records'!$F$2:$F$53,F$5)&gt;0,"Y","N")</f>
        <v>N</v>
      </c>
      <c r="G22" s="5" t="str">
        <f>IF(COUNTIFS('Trial records'!$D$2:$D$53,$A22,'Trial records'!$E$2:$E$53,"Y",'Trial records'!$F$2:$F$53,G$5)&gt;0,"Y","N")</f>
        <v>N</v>
      </c>
      <c r="H22" s="5" t="str">
        <f>IF(COUNTIFS('Trial records'!$D$2:$D$53,$A22,'Trial records'!$E$2:$E$53,"Y",'Trial records'!$F$2:$F$53,H$5)&gt;0,"Y","N")</f>
        <v>Y</v>
      </c>
      <c r="I22" s="5" t="str">
        <f>IF(COUNTIFS('Trial records'!$D$2:$D$53,$A22,'Trial records'!$E$2:$E$53,"Y",'Trial records'!$F$2:$F$53,I$5)&gt;0,"Y","N")</f>
        <v>N</v>
      </c>
      <c r="J22" s="5" t="str">
        <f>IF(COUNTIFS('Trial records'!$D$2:$D$53,$A22,'Trial records'!$E$2:$E$53,"Y",'Trial records'!$F$2:$F$53,J$5)&gt;0,"Y","N")</f>
        <v>Y</v>
      </c>
      <c r="K22" s="5" t="str">
        <f>IF(COUNTIFS('Trial records'!$D$2:$D$53,$A22,'Trial records'!$E$2:$E$53,"Y")&gt;0,"Y","N")</f>
        <v>Y</v>
      </c>
      <c r="L22" s="3" t="s">
        <v>32</v>
      </c>
    </row>
    <row r="23" spans="1:12" ht="25" customHeight="1">
      <c r="A23" s="3" t="s">
        <v>34</v>
      </c>
      <c r="B23" s="4">
        <v>46315.5</v>
      </c>
      <c r="C23" s="5" t="str">
        <f>IF(COUNTIFS('Trial records'!$D$2:$D$53,$A23,'Trial records'!$E$2:$E$53,"Y",'Trial records'!$F$2:$F$53,C$5)&gt;0,"Y","N")</f>
        <v>Y</v>
      </c>
      <c r="D23" s="5" t="str">
        <f>IF(COUNTIFS('Trial records'!$D$2:$D$53,$A23,'Trial records'!$E$2:$E$53,"Y",'Trial records'!$F$2:$F$53,D$5)&gt;0,"Y","N")</f>
        <v>N</v>
      </c>
      <c r="E23" s="5" t="str">
        <f>IF(COUNTIFS('Trial records'!$D$2:$D$53,$A23,'Trial records'!$E$2:$E$53,"Y",'Trial records'!$F$2:$F$53,E$5)&gt;0,"Y","N")</f>
        <v>N</v>
      </c>
      <c r="F23" s="5" t="str">
        <f>IF(COUNTIFS('Trial records'!$D$2:$D$53,$A23,'Trial records'!$E$2:$E$53,"Y",'Trial records'!$F$2:$F$53,F$5)&gt;0,"Y","N")</f>
        <v>N</v>
      </c>
      <c r="G23" s="5" t="str">
        <f>IF(COUNTIFS('Trial records'!$D$2:$D$53,$A23,'Trial records'!$E$2:$E$53,"Y",'Trial records'!$F$2:$F$53,G$5)&gt;0,"Y","N")</f>
        <v>N</v>
      </c>
      <c r="H23" s="5" t="str">
        <f>IF(COUNTIFS('Trial records'!$D$2:$D$53,$A23,'Trial records'!$E$2:$E$53,"Y",'Trial records'!$F$2:$F$53,H$5)&gt;0,"Y","N")</f>
        <v>Y</v>
      </c>
      <c r="I23" s="5" t="str">
        <f>IF(COUNTIFS('Trial records'!$D$2:$D$53,$A23,'Trial records'!$E$2:$E$53,"Y",'Trial records'!$F$2:$F$53,I$5)&gt;0,"Y","N")</f>
        <v>N</v>
      </c>
      <c r="J23" s="5" t="str">
        <f>IF(COUNTIFS('Trial records'!$D$2:$D$53,$A23,'Trial records'!$E$2:$E$53,"Y",'Trial records'!$F$2:$F$53,J$5)&gt;0,"Y","N")</f>
        <v>Y</v>
      </c>
      <c r="K23" s="5" t="str">
        <f>IF(COUNTIFS('Trial records'!$D$2:$D$53,$A23,'Trial records'!$E$2:$E$53,"Y")&gt;0,"Y","N")</f>
        <v>Y</v>
      </c>
      <c r="L23" s="3" t="s">
        <v>32</v>
      </c>
    </row>
    <row r="24" spans="1:12" ht="25" customHeight="1">
      <c r="A24" s="3" t="s">
        <v>35</v>
      </c>
      <c r="B24" s="4">
        <v>46319.5</v>
      </c>
      <c r="C24" s="5" t="str">
        <f>IF(COUNTIFS('Trial records'!$D$2:$D$53,$A24,'Trial records'!$E$2:$E$53,"Y",'Trial records'!$F$2:$F$53,C$5)&gt;0,"Y","N")</f>
        <v>N</v>
      </c>
      <c r="D24" s="5" t="str">
        <f>IF(COUNTIFS('Trial records'!$D$2:$D$53,$A24,'Trial records'!$E$2:$E$53,"Y",'Trial records'!$F$2:$F$53,D$5)&gt;0,"Y","N")</f>
        <v>N</v>
      </c>
      <c r="E24" s="5" t="str">
        <f>IF(COUNTIFS('Trial records'!$D$2:$D$53,$A24,'Trial records'!$E$2:$E$53,"Y",'Trial records'!$F$2:$F$53,E$5)&gt;0,"Y","N")</f>
        <v>Y</v>
      </c>
      <c r="F24" s="5" t="str">
        <f>IF(COUNTIFS('Trial records'!$D$2:$D$53,$A24,'Trial records'!$E$2:$E$53,"Y",'Trial records'!$F$2:$F$53,F$5)&gt;0,"Y","N")</f>
        <v>N</v>
      </c>
      <c r="G24" s="5" t="str">
        <f>IF(COUNTIFS('Trial records'!$D$2:$D$53,$A24,'Trial records'!$E$2:$E$53,"Y",'Trial records'!$F$2:$F$53,G$5)&gt;0,"Y","N")</f>
        <v>N</v>
      </c>
      <c r="H24" s="5" t="str">
        <f>IF(COUNTIFS('Trial records'!$D$2:$D$53,$A24,'Trial records'!$E$2:$E$53,"Y",'Trial records'!$F$2:$F$53,H$5)&gt;0,"Y","N")</f>
        <v>Y</v>
      </c>
      <c r="I24" s="5" t="str">
        <f>IF(COUNTIFS('Trial records'!$D$2:$D$53,$A24,'Trial records'!$E$2:$E$53,"Y",'Trial records'!$F$2:$F$53,I$5)&gt;0,"Y","N")</f>
        <v>Y</v>
      </c>
      <c r="J24" s="5" t="str">
        <f>IF(COUNTIFS('Trial records'!$D$2:$D$53,$A24,'Trial records'!$E$2:$E$53,"Y",'Trial records'!$F$2:$F$53,J$5)&gt;0,"Y","N")</f>
        <v>Y</v>
      </c>
      <c r="K24" s="5" t="str">
        <f>IF(COUNTIFS('Trial records'!$D$2:$D$53,$A24,'Trial records'!$E$2:$E$53,"Y")&gt;0,"Y","N")</f>
        <v>Y</v>
      </c>
      <c r="L24" s="3" t="s">
        <v>32</v>
      </c>
    </row>
    <row r="27" spans="1:12">
      <c r="A27" s="13" t="s">
        <v>36</v>
      </c>
    </row>
    <row r="28" spans="1:12">
      <c r="A28" s="13" t="s">
        <v>37</v>
      </c>
    </row>
    <row r="29" spans="1:12">
      <c r="A29" s="13" t="s">
        <v>38</v>
      </c>
    </row>
    <row r="30" spans="1:12">
      <c r="A30" s="13" t="s">
        <v>39</v>
      </c>
    </row>
    <row r="31" spans="1:12">
      <c r="A31" s="13" t="s">
        <v>40</v>
      </c>
    </row>
    <row r="32" spans="1:12">
      <c r="A32" s="13" t="s">
        <v>41</v>
      </c>
    </row>
  </sheetData>
  <conditionalFormatting sqref="C6:K24">
    <cfRule type="cellIs" dxfId="4" priority="1" operator="equal">
      <formula>"Y"</formula>
    </cfRule>
  </conditionalFormatting>
  <conditionalFormatting sqref="K6:K24">
    <cfRule type="cellIs" dxfId="3" priority="2" operator="equal">
      <formula>"N"</formula>
    </cfRule>
  </conditionalFormatting>
  <conditionalFormatting sqref="L6:L24">
    <cfRule type="cellIs" dxfId="2" priority="3" operator="equal">
      <formula>"Inferred"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4"/>
  <cols>
    <col min="1" max="1" width="47" customWidth="1"/>
    <col min="2" max="2" width="12" customWidth="1"/>
    <col min="3" max="3" width="13" customWidth="1"/>
    <col min="4" max="4" width="31" customWidth="1"/>
    <col min="5" max="5" width="15" customWidth="1"/>
    <col min="6" max="6" width="18" customWidth="1"/>
    <col min="7" max="7" width="52" customWidth="1"/>
    <col min="8" max="8" width="58" customWidth="1"/>
    <col min="9" max="10" width="64" customWidth="1"/>
  </cols>
  <sheetData>
    <row r="1" spans="1:10" ht="30" customHeight="1">
      <c r="A1" s="10" t="s">
        <v>42</v>
      </c>
      <c r="B1" s="11" t="s">
        <v>43</v>
      </c>
      <c r="C1" s="11" t="s">
        <v>3</v>
      </c>
      <c r="D1" s="11" t="s">
        <v>2</v>
      </c>
      <c r="E1" s="11" t="s">
        <v>12</v>
      </c>
      <c r="F1" s="11" t="s">
        <v>44</v>
      </c>
      <c r="G1" s="11" t="s">
        <v>45</v>
      </c>
      <c r="H1" s="11" t="s">
        <v>46</v>
      </c>
      <c r="I1" s="11" t="s">
        <v>47</v>
      </c>
      <c r="J1" s="12" t="s">
        <v>48</v>
      </c>
    </row>
    <row r="2" spans="1:10" ht="70" customHeight="1">
      <c r="A2" s="9" t="s">
        <v>49</v>
      </c>
      <c r="B2" s="3" t="s">
        <v>50</v>
      </c>
      <c r="C2" s="4">
        <v>46223.5</v>
      </c>
      <c r="D2" s="3" t="s">
        <v>14</v>
      </c>
      <c r="E2" s="3" t="s">
        <v>51</v>
      </c>
      <c r="F2" s="3" t="s">
        <v>4</v>
      </c>
      <c r="G2" s="9" t="s">
        <v>52</v>
      </c>
      <c r="H2" s="9" t="s">
        <v>53</v>
      </c>
      <c r="I2" s="9" t="s">
        <v>54</v>
      </c>
      <c r="J2" s="9" t="s">
        <v>55</v>
      </c>
    </row>
    <row r="3" spans="1:10" ht="70" customHeight="1">
      <c r="A3" s="9" t="s">
        <v>56</v>
      </c>
      <c r="B3" s="3" t="s">
        <v>50</v>
      </c>
      <c r="C3" s="4">
        <v>46223.5</v>
      </c>
      <c r="D3" s="3" t="s">
        <v>14</v>
      </c>
      <c r="E3" s="3" t="s">
        <v>51</v>
      </c>
      <c r="F3" s="3" t="s">
        <v>4</v>
      </c>
      <c r="G3" s="9" t="s">
        <v>52</v>
      </c>
      <c r="H3" s="9" t="s">
        <v>53</v>
      </c>
      <c r="I3" s="9" t="s">
        <v>54</v>
      </c>
      <c r="J3" s="9" t="s">
        <v>57</v>
      </c>
    </row>
    <row r="4" spans="1:10" ht="70" customHeight="1">
      <c r="A4" s="9" t="s">
        <v>58</v>
      </c>
      <c r="B4" s="3" t="s">
        <v>50</v>
      </c>
      <c r="C4" s="4">
        <v>46224.5</v>
      </c>
      <c r="D4" s="3" t="s">
        <v>16</v>
      </c>
      <c r="E4" s="3" t="s">
        <v>51</v>
      </c>
      <c r="F4" s="3" t="s">
        <v>5</v>
      </c>
      <c r="G4" s="9" t="s">
        <v>52</v>
      </c>
      <c r="H4" s="9" t="s">
        <v>53</v>
      </c>
      <c r="I4" s="9" t="s">
        <v>54</v>
      </c>
      <c r="J4" s="9" t="s">
        <v>59</v>
      </c>
    </row>
    <row r="5" spans="1:10" ht="70" customHeight="1">
      <c r="A5" s="9" t="s">
        <v>60</v>
      </c>
      <c r="B5" s="3" t="s">
        <v>50</v>
      </c>
      <c r="C5" s="4">
        <v>46224.5</v>
      </c>
      <c r="D5" s="3" t="s">
        <v>16</v>
      </c>
      <c r="E5" s="3" t="s">
        <v>51</v>
      </c>
      <c r="F5" s="3" t="s">
        <v>5</v>
      </c>
      <c r="G5" s="9" t="s">
        <v>52</v>
      </c>
      <c r="H5" s="9" t="s">
        <v>53</v>
      </c>
      <c r="I5" s="9" t="s">
        <v>54</v>
      </c>
      <c r="J5" s="9" t="s">
        <v>61</v>
      </c>
    </row>
    <row r="6" spans="1:10" ht="70" customHeight="1">
      <c r="A6" s="9" t="s">
        <v>62</v>
      </c>
      <c r="B6" s="3" t="s">
        <v>50</v>
      </c>
      <c r="C6" s="4">
        <v>46224.5</v>
      </c>
      <c r="D6" s="3" t="s">
        <v>16</v>
      </c>
      <c r="E6" s="3" t="s">
        <v>51</v>
      </c>
      <c r="F6" s="3" t="s">
        <v>8</v>
      </c>
      <c r="G6" s="9" t="s">
        <v>52</v>
      </c>
      <c r="H6" s="9" t="s">
        <v>53</v>
      </c>
      <c r="I6" s="9" t="s">
        <v>54</v>
      </c>
      <c r="J6" s="9" t="s">
        <v>63</v>
      </c>
    </row>
    <row r="7" spans="1:10" ht="70" customHeight="1">
      <c r="A7" s="9" t="s">
        <v>64</v>
      </c>
      <c r="B7" s="3" t="s">
        <v>50</v>
      </c>
      <c r="C7" s="4">
        <v>46225.5</v>
      </c>
      <c r="D7" s="3" t="s">
        <v>17</v>
      </c>
      <c r="E7" s="3" t="s">
        <v>51</v>
      </c>
      <c r="F7" s="3" t="s">
        <v>5</v>
      </c>
      <c r="G7" s="9" t="s">
        <v>52</v>
      </c>
      <c r="H7" s="9" t="s">
        <v>53</v>
      </c>
      <c r="I7" s="9" t="s">
        <v>54</v>
      </c>
      <c r="J7" s="9" t="s">
        <v>65</v>
      </c>
    </row>
    <row r="8" spans="1:10" ht="70" customHeight="1">
      <c r="A8" s="9" t="s">
        <v>66</v>
      </c>
      <c r="B8" s="3" t="s">
        <v>50</v>
      </c>
      <c r="C8" s="4">
        <v>46321.5</v>
      </c>
      <c r="D8" s="3"/>
      <c r="E8" s="3" t="s">
        <v>67</v>
      </c>
      <c r="F8" s="3" t="s">
        <v>6</v>
      </c>
      <c r="G8" s="9" t="s">
        <v>68</v>
      </c>
      <c r="H8" s="9" t="s">
        <v>69</v>
      </c>
      <c r="I8" s="9" t="s">
        <v>70</v>
      </c>
      <c r="J8" s="9" t="s">
        <v>71</v>
      </c>
    </row>
    <row r="9" spans="1:10" ht="70" customHeight="1">
      <c r="A9" s="9" t="s">
        <v>72</v>
      </c>
      <c r="B9" s="3" t="s">
        <v>50</v>
      </c>
      <c r="C9" s="4">
        <v>46321.5</v>
      </c>
      <c r="D9" s="3" t="s">
        <v>73</v>
      </c>
      <c r="E9" s="3" t="s">
        <v>67</v>
      </c>
      <c r="F9" s="3" t="s">
        <v>10</v>
      </c>
      <c r="G9" s="9" t="s">
        <v>68</v>
      </c>
      <c r="H9" s="9" t="s">
        <v>74</v>
      </c>
      <c r="I9" s="9" t="s">
        <v>70</v>
      </c>
      <c r="J9" s="9" t="s">
        <v>75</v>
      </c>
    </row>
    <row r="10" spans="1:10" ht="70" customHeight="1">
      <c r="A10" s="9" t="s">
        <v>76</v>
      </c>
      <c r="B10" s="3" t="s">
        <v>50</v>
      </c>
      <c r="C10" s="4">
        <v>46321.5</v>
      </c>
      <c r="D10" s="3"/>
      <c r="E10" s="3" t="s">
        <v>67</v>
      </c>
      <c r="F10" s="3" t="s">
        <v>11</v>
      </c>
      <c r="G10" s="9" t="s">
        <v>68</v>
      </c>
      <c r="H10" s="9" t="s">
        <v>69</v>
      </c>
      <c r="I10" s="9" t="s">
        <v>70</v>
      </c>
      <c r="J10" s="9" t="s">
        <v>77</v>
      </c>
    </row>
    <row r="11" spans="1:10" ht="70" customHeight="1">
      <c r="A11" s="9" t="s">
        <v>78</v>
      </c>
      <c r="B11" s="3" t="s">
        <v>50</v>
      </c>
      <c r="C11" s="4">
        <v>46321.5</v>
      </c>
      <c r="D11" s="3"/>
      <c r="E11" s="3" t="s">
        <v>67</v>
      </c>
      <c r="F11" s="3" t="s">
        <v>11</v>
      </c>
      <c r="G11" s="9" t="s">
        <v>68</v>
      </c>
      <c r="H11" s="9" t="s">
        <v>69</v>
      </c>
      <c r="I11" s="9" t="s">
        <v>70</v>
      </c>
      <c r="J11" s="9" t="s">
        <v>79</v>
      </c>
    </row>
    <row r="12" spans="1:10" ht="70" customHeight="1">
      <c r="A12" s="9" t="s">
        <v>80</v>
      </c>
      <c r="B12" s="3" t="s">
        <v>50</v>
      </c>
      <c r="C12" s="4">
        <v>46321.5</v>
      </c>
      <c r="D12" s="3"/>
      <c r="E12" s="3" t="s">
        <v>67</v>
      </c>
      <c r="F12" s="3" t="s">
        <v>10</v>
      </c>
      <c r="G12" s="9" t="s">
        <v>68</v>
      </c>
      <c r="H12" s="9" t="s">
        <v>69</v>
      </c>
      <c r="I12" s="9" t="s">
        <v>70</v>
      </c>
      <c r="J12" s="9" t="s">
        <v>81</v>
      </c>
    </row>
    <row r="13" spans="1:10" ht="70" customHeight="1">
      <c r="A13" s="9" t="s">
        <v>82</v>
      </c>
      <c r="B13" s="3" t="s">
        <v>83</v>
      </c>
      <c r="C13" s="4">
        <v>45881.5</v>
      </c>
      <c r="D13" s="3" t="s">
        <v>18</v>
      </c>
      <c r="E13" s="3" t="s">
        <v>51</v>
      </c>
      <c r="F13" s="3" t="s">
        <v>6</v>
      </c>
      <c r="G13" s="9" t="s">
        <v>84</v>
      </c>
      <c r="H13" s="9" t="s">
        <v>53</v>
      </c>
      <c r="I13" s="9" t="s">
        <v>85</v>
      </c>
      <c r="J13" s="9" t="s">
        <v>86</v>
      </c>
    </row>
    <row r="14" spans="1:10" ht="70" customHeight="1">
      <c r="A14" s="9" t="s">
        <v>87</v>
      </c>
      <c r="B14" s="3" t="s">
        <v>83</v>
      </c>
      <c r="C14" s="4">
        <v>45881.5</v>
      </c>
      <c r="D14" s="3" t="s">
        <v>18</v>
      </c>
      <c r="E14" s="3" t="s">
        <v>51</v>
      </c>
      <c r="F14" s="3" t="s">
        <v>7</v>
      </c>
      <c r="G14" s="9" t="s">
        <v>84</v>
      </c>
      <c r="H14" s="9" t="s">
        <v>53</v>
      </c>
      <c r="I14" s="9" t="s">
        <v>85</v>
      </c>
      <c r="J14" s="9" t="s">
        <v>88</v>
      </c>
    </row>
    <row r="15" spans="1:10" ht="70" customHeight="1">
      <c r="A15" s="9" t="s">
        <v>89</v>
      </c>
      <c r="B15" s="3" t="s">
        <v>83</v>
      </c>
      <c r="C15" s="4">
        <v>45881.5</v>
      </c>
      <c r="D15" s="3" t="s">
        <v>18</v>
      </c>
      <c r="E15" s="3" t="s">
        <v>51</v>
      </c>
      <c r="F15" s="3" t="s">
        <v>6</v>
      </c>
      <c r="G15" s="9" t="s">
        <v>84</v>
      </c>
      <c r="H15" s="9" t="s">
        <v>53</v>
      </c>
      <c r="I15" s="9" t="s">
        <v>85</v>
      </c>
      <c r="J15" s="9" t="s">
        <v>90</v>
      </c>
    </row>
    <row r="16" spans="1:10" ht="70" customHeight="1">
      <c r="A16" s="9" t="s">
        <v>91</v>
      </c>
      <c r="B16" s="3" t="s">
        <v>83</v>
      </c>
      <c r="C16" s="4">
        <v>45882.5</v>
      </c>
      <c r="D16" s="3" t="s">
        <v>19</v>
      </c>
      <c r="E16" s="3" t="s">
        <v>51</v>
      </c>
      <c r="F16" s="3" t="s">
        <v>7</v>
      </c>
      <c r="G16" s="9" t="s">
        <v>84</v>
      </c>
      <c r="H16" s="9" t="s">
        <v>53</v>
      </c>
      <c r="I16" s="9" t="s">
        <v>85</v>
      </c>
      <c r="J16" s="9" t="s">
        <v>92</v>
      </c>
    </row>
    <row r="17" spans="1:10" ht="70" customHeight="1">
      <c r="A17" s="9" t="s">
        <v>93</v>
      </c>
      <c r="B17" s="3" t="s">
        <v>83</v>
      </c>
      <c r="C17" s="4">
        <v>45888.5</v>
      </c>
      <c r="D17" s="3" t="s">
        <v>20</v>
      </c>
      <c r="E17" s="3" t="s">
        <v>51</v>
      </c>
      <c r="F17" s="3" t="s">
        <v>7</v>
      </c>
      <c r="G17" s="9" t="s">
        <v>84</v>
      </c>
      <c r="H17" s="9" t="s">
        <v>53</v>
      </c>
      <c r="I17" s="9" t="s">
        <v>85</v>
      </c>
      <c r="J17" s="9" t="s">
        <v>94</v>
      </c>
    </row>
    <row r="18" spans="1:10" ht="70" customHeight="1">
      <c r="A18" s="9" t="s">
        <v>95</v>
      </c>
      <c r="B18" s="3" t="s">
        <v>83</v>
      </c>
      <c r="C18" s="4">
        <v>45931.5</v>
      </c>
      <c r="D18" s="3" t="s">
        <v>21</v>
      </c>
      <c r="E18" s="3" t="s">
        <v>96</v>
      </c>
      <c r="F18" s="3" t="s">
        <v>5</v>
      </c>
      <c r="G18" s="9" t="s">
        <v>97</v>
      </c>
      <c r="H18" s="9" t="s">
        <v>53</v>
      </c>
      <c r="I18" s="9" t="s">
        <v>85</v>
      </c>
      <c r="J18" s="9" t="s">
        <v>98</v>
      </c>
    </row>
    <row r="19" spans="1:10" ht="70" customHeight="1">
      <c r="A19" s="9" t="s">
        <v>99</v>
      </c>
      <c r="B19" s="3" t="s">
        <v>83</v>
      </c>
      <c r="C19" s="4">
        <v>46066.5</v>
      </c>
      <c r="D19" s="3" t="s">
        <v>22</v>
      </c>
      <c r="E19" s="3" t="s">
        <v>96</v>
      </c>
      <c r="F19" s="3" t="s">
        <v>5</v>
      </c>
      <c r="G19" s="9" t="s">
        <v>97</v>
      </c>
      <c r="H19" s="9" t="s">
        <v>100</v>
      </c>
      <c r="I19" s="9" t="s">
        <v>85</v>
      </c>
      <c r="J19" s="9" t="s">
        <v>101</v>
      </c>
    </row>
    <row r="20" spans="1:10" ht="70" customHeight="1">
      <c r="A20" s="9" t="s">
        <v>102</v>
      </c>
      <c r="B20" s="3" t="s">
        <v>83</v>
      </c>
      <c r="C20" s="4">
        <v>46066.5</v>
      </c>
      <c r="D20" s="3" t="s">
        <v>24</v>
      </c>
      <c r="E20" s="3" t="s">
        <v>96</v>
      </c>
      <c r="F20" s="3" t="s">
        <v>5</v>
      </c>
      <c r="G20" s="9" t="s">
        <v>97</v>
      </c>
      <c r="H20" s="9" t="s">
        <v>53</v>
      </c>
      <c r="I20" s="9" t="s">
        <v>85</v>
      </c>
      <c r="J20" s="9" t="s">
        <v>103</v>
      </c>
    </row>
    <row r="21" spans="1:10" ht="70" customHeight="1">
      <c r="A21" s="9" t="s">
        <v>104</v>
      </c>
      <c r="B21" s="3" t="s">
        <v>83</v>
      </c>
      <c r="C21" s="4">
        <v>46070.5</v>
      </c>
      <c r="D21" s="3" t="s">
        <v>25</v>
      </c>
      <c r="E21" s="3" t="s">
        <v>51</v>
      </c>
      <c r="F21" s="3" t="s">
        <v>5</v>
      </c>
      <c r="G21" s="9" t="s">
        <v>84</v>
      </c>
      <c r="H21" s="9" t="s">
        <v>100</v>
      </c>
      <c r="I21" s="9" t="s">
        <v>85</v>
      </c>
      <c r="J21" s="9" t="s">
        <v>105</v>
      </c>
    </row>
    <row r="22" spans="1:10" ht="70" customHeight="1">
      <c r="A22" s="9" t="s">
        <v>106</v>
      </c>
      <c r="B22" s="3" t="s">
        <v>83</v>
      </c>
      <c r="C22" s="4">
        <v>46070.5</v>
      </c>
      <c r="D22" s="3" t="s">
        <v>25</v>
      </c>
      <c r="E22" s="3" t="s">
        <v>51</v>
      </c>
      <c r="F22" s="3" t="s">
        <v>4</v>
      </c>
      <c r="G22" s="9" t="s">
        <v>84</v>
      </c>
      <c r="H22" s="9" t="s">
        <v>100</v>
      </c>
      <c r="I22" s="9" t="s">
        <v>85</v>
      </c>
      <c r="J22" s="9" t="s">
        <v>107</v>
      </c>
    </row>
    <row r="23" spans="1:10" ht="70" customHeight="1">
      <c r="A23" s="9" t="s">
        <v>108</v>
      </c>
      <c r="B23" s="3" t="s">
        <v>83</v>
      </c>
      <c r="C23" s="4">
        <v>46070.5</v>
      </c>
      <c r="D23" s="3" t="s">
        <v>25</v>
      </c>
      <c r="E23" s="3" t="s">
        <v>51</v>
      </c>
      <c r="F23" s="3" t="s">
        <v>5</v>
      </c>
      <c r="G23" s="9" t="s">
        <v>84</v>
      </c>
      <c r="H23" s="9" t="s">
        <v>100</v>
      </c>
      <c r="I23" s="9" t="s">
        <v>85</v>
      </c>
      <c r="J23" s="9" t="s">
        <v>109</v>
      </c>
    </row>
    <row r="24" spans="1:10" ht="70" customHeight="1">
      <c r="A24" s="9" t="s">
        <v>110</v>
      </c>
      <c r="B24" s="3" t="s">
        <v>83</v>
      </c>
      <c r="C24" s="4">
        <v>46092.5</v>
      </c>
      <c r="D24" s="3" t="s">
        <v>26</v>
      </c>
      <c r="E24" s="3" t="s">
        <v>51</v>
      </c>
      <c r="F24" s="3" t="s">
        <v>5</v>
      </c>
      <c r="G24" s="9" t="s">
        <v>84</v>
      </c>
      <c r="H24" s="9" t="s">
        <v>111</v>
      </c>
      <c r="I24" s="9" t="s">
        <v>85</v>
      </c>
      <c r="J24" s="9" t="s">
        <v>112</v>
      </c>
    </row>
    <row r="25" spans="1:10" ht="70" customHeight="1">
      <c r="A25" s="9" t="s">
        <v>113</v>
      </c>
      <c r="B25" s="3" t="s">
        <v>83</v>
      </c>
      <c r="C25" s="4">
        <v>46094.5</v>
      </c>
      <c r="D25" s="3" t="s">
        <v>27</v>
      </c>
      <c r="E25" s="3" t="s">
        <v>51</v>
      </c>
      <c r="F25" s="3" t="s">
        <v>5</v>
      </c>
      <c r="G25" s="9" t="s">
        <v>84</v>
      </c>
      <c r="H25" s="9" t="s">
        <v>111</v>
      </c>
      <c r="I25" s="9" t="s">
        <v>85</v>
      </c>
      <c r="J25" s="9" t="s">
        <v>114</v>
      </c>
    </row>
    <row r="26" spans="1:10" ht="70" customHeight="1">
      <c r="A26" s="9" t="s">
        <v>115</v>
      </c>
      <c r="B26" s="3" t="s">
        <v>83</v>
      </c>
      <c r="C26" s="4">
        <v>46094.5</v>
      </c>
      <c r="D26" s="3" t="s">
        <v>27</v>
      </c>
      <c r="E26" s="3" t="s">
        <v>51</v>
      </c>
      <c r="F26" s="3" t="s">
        <v>116</v>
      </c>
      <c r="G26" s="9" t="s">
        <v>84</v>
      </c>
      <c r="H26" s="9" t="s">
        <v>111</v>
      </c>
      <c r="I26" s="9" t="s">
        <v>85</v>
      </c>
      <c r="J26" s="9" t="s">
        <v>117</v>
      </c>
    </row>
    <row r="27" spans="1:10" ht="70" customHeight="1">
      <c r="A27" s="9" t="s">
        <v>118</v>
      </c>
      <c r="B27" s="3" t="s">
        <v>83</v>
      </c>
      <c r="C27" s="4">
        <v>46099.5</v>
      </c>
      <c r="D27" s="3" t="s">
        <v>28</v>
      </c>
      <c r="E27" s="3" t="s">
        <v>51</v>
      </c>
      <c r="F27" s="3" t="s">
        <v>116</v>
      </c>
      <c r="G27" s="9" t="s">
        <v>84</v>
      </c>
      <c r="H27" s="9" t="s">
        <v>111</v>
      </c>
      <c r="I27" s="9" t="s">
        <v>85</v>
      </c>
      <c r="J27" s="9" t="s">
        <v>119</v>
      </c>
    </row>
    <row r="28" spans="1:10" ht="70" customHeight="1">
      <c r="A28" s="9" t="s">
        <v>120</v>
      </c>
      <c r="B28" s="3" t="s">
        <v>83</v>
      </c>
      <c r="C28" s="4">
        <v>46139.5</v>
      </c>
      <c r="D28" s="3" t="s">
        <v>29</v>
      </c>
      <c r="E28" s="3" t="s">
        <v>51</v>
      </c>
      <c r="F28" s="3" t="s">
        <v>9</v>
      </c>
      <c r="G28" s="9" t="s">
        <v>84</v>
      </c>
      <c r="H28" s="9" t="s">
        <v>53</v>
      </c>
      <c r="I28" s="9" t="s">
        <v>85</v>
      </c>
      <c r="J28" s="9" t="s">
        <v>121</v>
      </c>
    </row>
    <row r="29" spans="1:10" ht="70" customHeight="1">
      <c r="A29" s="9" t="s">
        <v>122</v>
      </c>
      <c r="B29" s="3" t="s">
        <v>83</v>
      </c>
      <c r="C29" s="4">
        <v>46139.5</v>
      </c>
      <c r="D29" s="3" t="s">
        <v>30</v>
      </c>
      <c r="E29" s="3" t="s">
        <v>51</v>
      </c>
      <c r="F29" s="3" t="s">
        <v>9</v>
      </c>
      <c r="G29" s="9" t="s">
        <v>84</v>
      </c>
      <c r="H29" s="9" t="s">
        <v>53</v>
      </c>
      <c r="I29" s="9" t="s">
        <v>85</v>
      </c>
      <c r="J29" s="9" t="s">
        <v>123</v>
      </c>
    </row>
    <row r="30" spans="1:10" ht="70" customHeight="1">
      <c r="A30" s="9" t="s">
        <v>124</v>
      </c>
      <c r="B30" s="3" t="s">
        <v>83</v>
      </c>
      <c r="C30" s="4">
        <v>46139.5</v>
      </c>
      <c r="D30" s="3" t="s">
        <v>30</v>
      </c>
      <c r="E30" s="3" t="s">
        <v>51</v>
      </c>
      <c r="F30" s="3" t="s">
        <v>9</v>
      </c>
      <c r="G30" s="9" t="s">
        <v>84</v>
      </c>
      <c r="H30" s="9" t="s">
        <v>53</v>
      </c>
      <c r="I30" s="9" t="s">
        <v>85</v>
      </c>
      <c r="J30" s="9" t="s">
        <v>125</v>
      </c>
    </row>
    <row r="31" spans="1:10" ht="70" customHeight="1">
      <c r="A31" s="9" t="s">
        <v>126</v>
      </c>
      <c r="B31" s="3" t="s">
        <v>83</v>
      </c>
      <c r="C31" s="4">
        <v>46314.5</v>
      </c>
      <c r="D31" s="3" t="s">
        <v>31</v>
      </c>
      <c r="E31" s="3" t="s">
        <v>51</v>
      </c>
      <c r="F31" s="3" t="s">
        <v>6</v>
      </c>
      <c r="G31" s="9" t="s">
        <v>127</v>
      </c>
      <c r="H31" s="9" t="s">
        <v>128</v>
      </c>
      <c r="I31" s="9" t="s">
        <v>85</v>
      </c>
      <c r="J31" s="9" t="s">
        <v>129</v>
      </c>
    </row>
    <row r="32" spans="1:10" ht="70" customHeight="1">
      <c r="A32" s="9" t="s">
        <v>130</v>
      </c>
      <c r="B32" s="3" t="s">
        <v>83</v>
      </c>
      <c r="C32" s="4">
        <v>46314.5</v>
      </c>
      <c r="D32" s="3" t="s">
        <v>31</v>
      </c>
      <c r="E32" s="3" t="s">
        <v>51</v>
      </c>
      <c r="F32" s="3" t="s">
        <v>9</v>
      </c>
      <c r="G32" s="9" t="s">
        <v>127</v>
      </c>
      <c r="H32" s="9" t="s">
        <v>128</v>
      </c>
      <c r="I32" s="9" t="s">
        <v>85</v>
      </c>
      <c r="J32" s="9" t="s">
        <v>131</v>
      </c>
    </row>
    <row r="33" spans="1:10" ht="70" customHeight="1">
      <c r="A33" s="9" t="s">
        <v>132</v>
      </c>
      <c r="B33" s="3" t="s">
        <v>83</v>
      </c>
      <c r="C33" s="4">
        <v>46314.5</v>
      </c>
      <c r="D33" s="3" t="s">
        <v>31</v>
      </c>
      <c r="E33" s="3" t="s">
        <v>51</v>
      </c>
      <c r="F33" s="3" t="s">
        <v>9</v>
      </c>
      <c r="G33" s="9" t="s">
        <v>127</v>
      </c>
      <c r="H33" s="9" t="s">
        <v>128</v>
      </c>
      <c r="I33" s="9" t="s">
        <v>85</v>
      </c>
      <c r="J33" s="9" t="s">
        <v>133</v>
      </c>
    </row>
    <row r="34" spans="1:10" ht="70" customHeight="1">
      <c r="A34" s="9" t="s">
        <v>134</v>
      </c>
      <c r="B34" s="3" t="s">
        <v>83</v>
      </c>
      <c r="C34" s="4">
        <v>46314.5</v>
      </c>
      <c r="D34" s="3" t="s">
        <v>31</v>
      </c>
      <c r="E34" s="3" t="s">
        <v>96</v>
      </c>
      <c r="F34" s="3" t="s">
        <v>11</v>
      </c>
      <c r="G34" s="9" t="s">
        <v>135</v>
      </c>
      <c r="H34" s="9" t="s">
        <v>128</v>
      </c>
      <c r="I34" s="9" t="s">
        <v>85</v>
      </c>
      <c r="J34" s="9" t="s">
        <v>136</v>
      </c>
    </row>
    <row r="35" spans="1:10" ht="70" customHeight="1">
      <c r="A35" s="9" t="s">
        <v>137</v>
      </c>
      <c r="B35" s="3" t="s">
        <v>83</v>
      </c>
      <c r="C35" s="4">
        <v>46314.5</v>
      </c>
      <c r="D35" s="3" t="s">
        <v>31</v>
      </c>
      <c r="E35" s="3" t="s">
        <v>51</v>
      </c>
      <c r="F35" s="3" t="s">
        <v>11</v>
      </c>
      <c r="G35" s="9" t="s">
        <v>127</v>
      </c>
      <c r="H35" s="9" t="s">
        <v>128</v>
      </c>
      <c r="I35" s="9" t="s">
        <v>85</v>
      </c>
      <c r="J35" s="9" t="s">
        <v>138</v>
      </c>
    </row>
    <row r="36" spans="1:10" ht="70" customHeight="1">
      <c r="A36" s="9" t="s">
        <v>139</v>
      </c>
      <c r="B36" s="3" t="s">
        <v>83</v>
      </c>
      <c r="C36" s="4">
        <v>46314.5</v>
      </c>
      <c r="D36" s="3" t="s">
        <v>31</v>
      </c>
      <c r="E36" s="3" t="s">
        <v>51</v>
      </c>
      <c r="F36" s="3" t="s">
        <v>11</v>
      </c>
      <c r="G36" s="9" t="s">
        <v>127</v>
      </c>
      <c r="H36" s="9" t="s">
        <v>128</v>
      </c>
      <c r="I36" s="9" t="s">
        <v>85</v>
      </c>
      <c r="J36" s="9" t="s">
        <v>140</v>
      </c>
    </row>
    <row r="37" spans="1:10" ht="70" customHeight="1">
      <c r="A37" s="9" t="s">
        <v>141</v>
      </c>
      <c r="B37" s="3" t="s">
        <v>83</v>
      </c>
      <c r="C37" s="4">
        <v>46315.5</v>
      </c>
      <c r="D37" s="3" t="s">
        <v>33</v>
      </c>
      <c r="E37" s="3" t="s">
        <v>51</v>
      </c>
      <c r="F37" s="3" t="s">
        <v>9</v>
      </c>
      <c r="G37" s="9" t="s">
        <v>127</v>
      </c>
      <c r="H37" s="9" t="s">
        <v>142</v>
      </c>
      <c r="I37" s="9" t="s">
        <v>85</v>
      </c>
      <c r="J37" s="9" t="s">
        <v>143</v>
      </c>
    </row>
    <row r="38" spans="1:10" ht="70" customHeight="1">
      <c r="A38" s="9" t="s">
        <v>144</v>
      </c>
      <c r="B38" s="3" t="s">
        <v>83</v>
      </c>
      <c r="C38" s="4">
        <v>46315.5</v>
      </c>
      <c r="D38" s="3" t="s">
        <v>33</v>
      </c>
      <c r="E38" s="3" t="s">
        <v>51</v>
      </c>
      <c r="F38" s="3" t="s">
        <v>11</v>
      </c>
      <c r="G38" s="9" t="s">
        <v>127</v>
      </c>
      <c r="H38" s="9" t="s">
        <v>142</v>
      </c>
      <c r="I38" s="9" t="s">
        <v>85</v>
      </c>
      <c r="J38" s="9" t="s">
        <v>145</v>
      </c>
    </row>
    <row r="39" spans="1:10" ht="70" customHeight="1">
      <c r="A39" s="9" t="s">
        <v>146</v>
      </c>
      <c r="B39" s="3" t="s">
        <v>83</v>
      </c>
      <c r="C39" s="4">
        <v>46315.5</v>
      </c>
      <c r="D39" s="3" t="s">
        <v>33</v>
      </c>
      <c r="E39" s="3" t="s">
        <v>51</v>
      </c>
      <c r="F39" s="3" t="s">
        <v>11</v>
      </c>
      <c r="G39" s="9" t="s">
        <v>127</v>
      </c>
      <c r="H39" s="9" t="s">
        <v>142</v>
      </c>
      <c r="I39" s="9" t="s">
        <v>85</v>
      </c>
      <c r="J39" s="9" t="s">
        <v>147</v>
      </c>
    </row>
    <row r="40" spans="1:10" ht="70" customHeight="1">
      <c r="A40" s="9" t="s">
        <v>148</v>
      </c>
      <c r="B40" s="3" t="s">
        <v>83</v>
      </c>
      <c r="C40" s="4">
        <v>46315.5</v>
      </c>
      <c r="D40" s="3" t="s">
        <v>34</v>
      </c>
      <c r="E40" s="3" t="s">
        <v>96</v>
      </c>
      <c r="F40" s="3" t="s">
        <v>6</v>
      </c>
      <c r="G40" s="9" t="s">
        <v>97</v>
      </c>
      <c r="H40" s="9" t="s">
        <v>142</v>
      </c>
      <c r="I40" s="9" t="s">
        <v>85</v>
      </c>
      <c r="J40" s="9" t="s">
        <v>149</v>
      </c>
    </row>
    <row r="41" spans="1:10" ht="70" customHeight="1">
      <c r="A41" s="9" t="s">
        <v>150</v>
      </c>
      <c r="B41" s="3" t="s">
        <v>83</v>
      </c>
      <c r="C41" s="4">
        <v>46315.5</v>
      </c>
      <c r="D41" s="3" t="s">
        <v>34</v>
      </c>
      <c r="E41" s="3" t="s">
        <v>51</v>
      </c>
      <c r="F41" s="3" t="s">
        <v>4</v>
      </c>
      <c r="G41" s="9" t="s">
        <v>127</v>
      </c>
      <c r="H41" s="9" t="s">
        <v>142</v>
      </c>
      <c r="I41" s="9" t="s">
        <v>85</v>
      </c>
      <c r="J41" s="9" t="s">
        <v>151</v>
      </c>
    </row>
    <row r="42" spans="1:10" ht="70" customHeight="1">
      <c r="A42" s="9" t="s">
        <v>152</v>
      </c>
      <c r="B42" s="3" t="s">
        <v>83</v>
      </c>
      <c r="C42" s="4">
        <v>46315.5</v>
      </c>
      <c r="D42" s="3" t="s">
        <v>34</v>
      </c>
      <c r="E42" s="3" t="s">
        <v>51</v>
      </c>
      <c r="F42" s="3" t="s">
        <v>9</v>
      </c>
      <c r="G42" s="9" t="s">
        <v>127</v>
      </c>
      <c r="H42" s="9" t="s">
        <v>142</v>
      </c>
      <c r="I42" s="9" t="s">
        <v>85</v>
      </c>
      <c r="J42" s="9" t="s">
        <v>153</v>
      </c>
    </row>
    <row r="43" spans="1:10" ht="70" customHeight="1">
      <c r="A43" s="9" t="s">
        <v>154</v>
      </c>
      <c r="B43" s="3" t="s">
        <v>83</v>
      </c>
      <c r="C43" s="4">
        <v>46315.5</v>
      </c>
      <c r="D43" s="3" t="s">
        <v>34</v>
      </c>
      <c r="E43" s="3" t="s">
        <v>51</v>
      </c>
      <c r="F43" s="3" t="s">
        <v>11</v>
      </c>
      <c r="G43" s="9" t="s">
        <v>127</v>
      </c>
      <c r="H43" s="9" t="s">
        <v>142</v>
      </c>
      <c r="I43" s="9" t="s">
        <v>85</v>
      </c>
      <c r="J43" s="9" t="s">
        <v>155</v>
      </c>
    </row>
    <row r="44" spans="1:10" ht="70" customHeight="1">
      <c r="A44" s="9" t="s">
        <v>156</v>
      </c>
      <c r="B44" s="3" t="s">
        <v>83</v>
      </c>
      <c r="C44" s="4">
        <v>46315.5</v>
      </c>
      <c r="D44" s="3" t="s">
        <v>33</v>
      </c>
      <c r="E44" s="3" t="s">
        <v>51</v>
      </c>
      <c r="F44" s="3" t="s">
        <v>6</v>
      </c>
      <c r="G44" s="9" t="s">
        <v>127</v>
      </c>
      <c r="H44" s="9" t="s">
        <v>142</v>
      </c>
      <c r="I44" s="9" t="s">
        <v>85</v>
      </c>
      <c r="J44" s="9" t="s">
        <v>157</v>
      </c>
    </row>
    <row r="45" spans="1:10" ht="70" customHeight="1">
      <c r="A45" s="9" t="s">
        <v>158</v>
      </c>
      <c r="B45" s="3" t="s">
        <v>83</v>
      </c>
      <c r="C45" s="4">
        <v>46315.5</v>
      </c>
      <c r="D45" s="3" t="s">
        <v>33</v>
      </c>
      <c r="E45" s="3" t="s">
        <v>96</v>
      </c>
      <c r="F45" s="3" t="s">
        <v>6</v>
      </c>
      <c r="G45" s="9" t="s">
        <v>159</v>
      </c>
      <c r="H45" s="9" t="s">
        <v>142</v>
      </c>
      <c r="I45" s="9" t="s">
        <v>85</v>
      </c>
      <c r="J45" s="9" t="s">
        <v>160</v>
      </c>
    </row>
    <row r="46" spans="1:10" ht="70" customHeight="1">
      <c r="A46" s="9" t="s">
        <v>161</v>
      </c>
      <c r="B46" s="3" t="s">
        <v>83</v>
      </c>
      <c r="C46" s="4">
        <v>46315.5</v>
      </c>
      <c r="D46" s="3" t="s">
        <v>33</v>
      </c>
      <c r="E46" s="3" t="s">
        <v>51</v>
      </c>
      <c r="F46" s="3" t="s">
        <v>4</v>
      </c>
      <c r="G46" s="9" t="s">
        <v>127</v>
      </c>
      <c r="H46" s="9" t="s">
        <v>142</v>
      </c>
      <c r="I46" s="9" t="s">
        <v>85</v>
      </c>
      <c r="J46" s="9" t="s">
        <v>162</v>
      </c>
    </row>
    <row r="47" spans="1:10" ht="70" customHeight="1">
      <c r="A47" s="9" t="s">
        <v>163</v>
      </c>
      <c r="B47" s="3" t="s">
        <v>83</v>
      </c>
      <c r="C47" s="4">
        <v>46319.5</v>
      </c>
      <c r="D47" s="3" t="s">
        <v>35</v>
      </c>
      <c r="E47" s="3" t="s">
        <v>96</v>
      </c>
      <c r="F47" s="3" t="s">
        <v>6</v>
      </c>
      <c r="G47" s="9" t="s">
        <v>164</v>
      </c>
      <c r="H47" s="9" t="s">
        <v>128</v>
      </c>
      <c r="I47" s="9" t="s">
        <v>85</v>
      </c>
      <c r="J47" s="9" t="s">
        <v>165</v>
      </c>
    </row>
    <row r="48" spans="1:10" ht="70" customHeight="1">
      <c r="A48" s="9" t="s">
        <v>166</v>
      </c>
      <c r="B48" s="3" t="s">
        <v>83</v>
      </c>
      <c r="C48" s="4">
        <v>46319.5</v>
      </c>
      <c r="D48" s="3" t="s">
        <v>35</v>
      </c>
      <c r="E48" s="3" t="s">
        <v>51</v>
      </c>
      <c r="F48" s="3" t="s">
        <v>6</v>
      </c>
      <c r="G48" s="9" t="s">
        <v>127</v>
      </c>
      <c r="H48" s="9" t="s">
        <v>128</v>
      </c>
      <c r="I48" s="9" t="s">
        <v>85</v>
      </c>
      <c r="J48" s="9" t="s">
        <v>167</v>
      </c>
    </row>
    <row r="49" spans="1:10" ht="70" customHeight="1">
      <c r="A49" s="9" t="s">
        <v>168</v>
      </c>
      <c r="B49" s="3" t="s">
        <v>83</v>
      </c>
      <c r="C49" s="4">
        <v>46319.5</v>
      </c>
      <c r="D49" s="3" t="s">
        <v>35</v>
      </c>
      <c r="E49" s="3" t="s">
        <v>51</v>
      </c>
      <c r="F49" s="3" t="s">
        <v>9</v>
      </c>
      <c r="G49" s="9" t="s">
        <v>127</v>
      </c>
      <c r="H49" s="9" t="s">
        <v>128</v>
      </c>
      <c r="I49" s="9" t="s">
        <v>85</v>
      </c>
      <c r="J49" s="9" t="s">
        <v>169</v>
      </c>
    </row>
    <row r="50" spans="1:10" ht="70" customHeight="1">
      <c r="A50" s="9" t="s">
        <v>170</v>
      </c>
      <c r="B50" s="3" t="s">
        <v>83</v>
      </c>
      <c r="C50" s="4">
        <v>46319.5</v>
      </c>
      <c r="D50" s="3" t="s">
        <v>35</v>
      </c>
      <c r="E50" s="3" t="s">
        <v>51</v>
      </c>
      <c r="F50" s="3" t="s">
        <v>9</v>
      </c>
      <c r="G50" s="9" t="s">
        <v>127</v>
      </c>
      <c r="H50" s="9" t="s">
        <v>128</v>
      </c>
      <c r="I50" s="9" t="s">
        <v>85</v>
      </c>
      <c r="J50" s="9" t="s">
        <v>171</v>
      </c>
    </row>
    <row r="51" spans="1:10" ht="70" customHeight="1">
      <c r="A51" s="9" t="s">
        <v>172</v>
      </c>
      <c r="B51" s="3" t="s">
        <v>83</v>
      </c>
      <c r="C51" s="4">
        <v>46319.5</v>
      </c>
      <c r="D51" s="3" t="s">
        <v>35</v>
      </c>
      <c r="E51" s="3" t="s">
        <v>51</v>
      </c>
      <c r="F51" s="3" t="s">
        <v>10</v>
      </c>
      <c r="G51" s="9" t="s">
        <v>127</v>
      </c>
      <c r="H51" s="9" t="s">
        <v>128</v>
      </c>
      <c r="I51" s="9" t="s">
        <v>85</v>
      </c>
      <c r="J51" s="9" t="s">
        <v>173</v>
      </c>
    </row>
    <row r="52" spans="1:10" ht="70" customHeight="1">
      <c r="A52" s="9" t="s">
        <v>174</v>
      </c>
      <c r="B52" s="3" t="s">
        <v>83</v>
      </c>
      <c r="C52" s="4">
        <v>46319.5</v>
      </c>
      <c r="D52" s="3" t="s">
        <v>35</v>
      </c>
      <c r="E52" s="3" t="s">
        <v>51</v>
      </c>
      <c r="F52" s="3" t="s">
        <v>11</v>
      </c>
      <c r="G52" s="9" t="s">
        <v>127</v>
      </c>
      <c r="H52" s="9" t="s">
        <v>128</v>
      </c>
      <c r="I52" s="9" t="s">
        <v>85</v>
      </c>
      <c r="J52" s="9" t="s">
        <v>175</v>
      </c>
    </row>
    <row r="53" spans="1:10" ht="70" customHeight="1">
      <c r="A53" s="9" t="s">
        <v>176</v>
      </c>
      <c r="B53" s="3" t="s">
        <v>83</v>
      </c>
      <c r="C53" s="4">
        <v>46319.5</v>
      </c>
      <c r="D53" s="3" t="s">
        <v>35</v>
      </c>
      <c r="E53" s="3" t="s">
        <v>51</v>
      </c>
      <c r="F53" s="3" t="s">
        <v>11</v>
      </c>
      <c r="G53" s="9" t="s">
        <v>127</v>
      </c>
      <c r="H53" s="9" t="s">
        <v>128</v>
      </c>
      <c r="I53" s="9" t="s">
        <v>85</v>
      </c>
      <c r="J53" s="9" t="s">
        <v>177</v>
      </c>
    </row>
  </sheetData>
  <conditionalFormatting sqref="E2:E53">
    <cfRule type="cellIs" dxfId="1" priority="1" operator="equal">
      <formula>"N"</formula>
    </cfRule>
    <cfRule type="cellIs" dxfId="0" priority="2" operator="equal">
      <formula>"Unreviewed"</formula>
    </cfRule>
  </conditionalFormatting>
  <dataValidations count="1">
    <dataValidation type="list" sqref="E2:E53" xr:uid="{00000000-0002-0000-0100-000000000000}">
      <formula1>"Y,N,Unreviewed"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Fly overview</vt:lpstr>
      <vt:lpstr>Trial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Renauld</cp:lastModifiedBy>
  <dcterms:modified xsi:type="dcterms:W3CDTF">2026-10-28T20:00:55Z</dcterms:modified>
</cp:coreProperties>
</file>