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dccca23da04e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ly overview" sheetId="1" r:id="R8fa043cc47094177"/>
    <x:sheet xmlns:r="http://schemas.openxmlformats.org/officeDocument/2006/relationships" name="Trial records" sheetId="2" r:id="R761a68c3a0b8443c"/>
  </x:sheets>
</x:workbook>
</file>

<file path=xl/sharedStrings.xml><?xml version="1.0" encoding="utf-8"?>
<x:sst xmlns:x="http://schemas.openxmlformats.org/spreadsheetml/2006/main">
  <x:si>
    <x:t xml:space="preserve">Good-behavior imaging inventory</x:t>
  </x:si>
  <x:si>
    <x:t xml:space="preserve">VES041 and SMP544. Y = at least one accepted recording of that type. N = no accepted recording of that type.</x:t>
  </x:si>
  <x:si>
    <x:t xml:space="preserve">Fly ID</x:t>
  </x:si>
  <x:si>
    <x:t xml:space="preserve">Date</x:t>
  </x:si>
  <x:si>
    <x:t xml:space="preserve">Dark</x:t>
  </x:si>
  <x:si>
    <x:t xml:space="preserve">CL bar</x:t>
  </x:si>
  <x:si>
    <x:t xml:space="preserve">Bar jumps</x:t>
  </x:si>
  <x:si>
    <x:t xml:space="preserve">Gratings</x:t>
  </x:si>
  <x:si>
    <x:t xml:space="preserve">Heat OL</x:t>
  </x:si>
  <x:si>
    <x:t xml:space="preserve">Heat barrier</x:t>
  </x:si>
  <x:si>
    <x:t xml:space="preserve">Heat pyramid</x:t>
  </x:si>
  <x:si>
    <x:t xml:space="preserve">Heat stripe</x:t>
  </x:si>
  <x:si>
    <x:t xml:space="preserve">Good behavior</x:t>
  </x:si>
  <x:si>
    <x:t xml:space="preserve">Fly identity</x:t>
  </x:si>
  <x:si>
    <x:t xml:space="preserve">SMP544_20260720_F2</x:t>
  </x:si>
  <x:si>
    <x:t xml:space="preserve">Explicit</x:t>
  </x:si>
  <x:si>
    <x:t xml:space="preserve">SMP544_20260721_F1</x:t>
  </x:si>
  <x:si>
    <x:t xml:space="preserve">SMP544_20260722_F1</x:t>
  </x:si>
  <x:si>
    <x:t xml:space="preserve">VES041_20250812_F3</x:t>
  </x:si>
  <x:si>
    <x:t xml:space="preserve">VES041_20250813_F1</x:t>
  </x:si>
  <x:si>
    <x:t xml:space="preserve">VES041_20250819_F1</x:t>
  </x:si>
  <x:si>
    <x:t xml:space="preserve">VES041_20251001_F3</x:t>
  </x:si>
  <x:si>
    <x:t xml:space="preserve">VES041_20260213_F1</x:t>
  </x:si>
  <x:si>
    <x:t xml:space="preserve">Inferred</x:t>
  </x:si>
  <x:si>
    <x:t xml:space="preserve">VES041_20260213_F2</x:t>
  </x:si>
  <x:si>
    <x:t xml:space="preserve">VES041_20260217_F1</x:t>
  </x:si>
  <x:si>
    <x:t xml:space="preserve">VES041_20260311_F1</x:t>
  </x:si>
  <x:si>
    <x:t xml:space="preserve">VES041_20260313_F1</x:t>
  </x:si>
  <x:si>
    <x:t xml:space="preserve">VES041_20260318_F1</x:t>
  </x:si>
  <x:si>
    <x:t xml:space="preserve">VES041_20260427_F2</x:t>
  </x:si>
  <x:si>
    <x:t xml:space="preserve">VES041_20260427_F3</x:t>
  </x:si>
  <x:si>
    <x:t xml:space="preserve">VES041_20261019_F1</x:t>
  </x:si>
  <x:si>
    <x:t xml:space="preserve">User confirmed</x:t>
  </x:si>
  <x:si>
    <x:t xml:space="preserve">VES041_20261020_F1</x:t>
  </x:si>
  <x:si>
    <x:t xml:space="preserve">VES041_20261020_F2</x:t>
  </x:si>
  <x:si>
    <x:t xml:space="preserve">VES041_20261024_F1</x:t>
  </x:si>
  <x:si>
    <x:t xml:space="preserve">CL bar means a separate non-jump bar trial. Bar-jump and heat trials do not automatically count as CL bar.</x:t>
  </x:si>
  <x:si>
    <x:t xml:space="preserve">Rejected trials: 2025-10-01, both 2026-02-13 recordings, and 20261020_3_1 are N in Trial records.</x:t>
  </x:si>
  <x:si>
    <x:t xml:space="preserve">October 20 VES041 fly 2 retains accepted dark/heat trials; its rejected bar-jump trial contributes no Y flag.</x:t>
  </x:si>
  <x:si>
    <x:t xml:space="preserve">Five processed SMP544 recordings from October 26 are Unreviewed and do not contribute to the fly overview.</x:t>
  </x:si>
  <x:si>
    <x:t xml:space="preserve">Odor is retained in Trial records. A fly with only accepted odor recordings can have Good behavior = Y and all listed conditions = N.</x:t>
  </x:si>
  <x:si>
    <x:t xml:space="preserve">Fly IDs include date and cell type. Unnumbered historical preparations remain inferred; October VES041 grouping follows user confirmation.</x:t>
  </x:si>
  <x:si>
    <x:t xml:space="preserve">Trial</x:t>
  </x:si>
  <x:si>
    <x:t xml:space="preserve">Cell type</x:t>
  </x:si>
  <x:si>
    <x:t xml:space="preserve">Trial type</x:t>
  </x:si>
  <x:si>
    <x:t xml:space="preserve">Behavior review</x:t>
  </x:si>
  <x:si>
    <x:t xml:space="preserve">Fly identity basis</x:t>
  </x:si>
  <x:si>
    <x:t xml:space="preserve">Selection source</x:t>
  </x:si>
  <x:si>
    <x:t xml:space="preserve">Recording folder</x:t>
  </x:si>
  <x:si>
    <x:t xml:space="preserve">20260720-3_smp544_fly2_dark</x:t>
  </x:si>
  <x:si>
    <x:t xml:space="preserve">SMP544</x:t>
  </x:si>
  <x:si>
    <x:t xml:space="preserve">Y</x:t>
  </x:si>
  <x:si>
    <x:t xml:space="preserve">Previously behavior-screened: sustained, varied walking</x:t>
  </x:si>
  <x:si>
    <x:t xml:space="preserve">Explicit fly number in recording folder</x:t>
  </x:si>
  <x:si>
    <x:t xml:space="preserve">/Users/sophiarenauld/Documents/GitHub/Wilson_Thesis/Imaging_analysis/compare_smp544_ves041_reorientation.m</x:t>
  </x:si>
  <x:si>
    <x:t xml:space="preserve">/Users/sophiarenauld/stacks/20260720-3_smp544_fly2_dark</x:t>
  </x:si>
  <x:si>
    <x:t xml:space="preserve">20260720-4_smp544_fly2_dark2_volume</x:t>
  </x:si>
  <x:si>
    <x:t xml:space="preserve">/Users/sophiarenauld/stacks/20260720-4_smp544_fly2_dark2_volume</x:t>
  </x:si>
  <x:si>
    <x:t xml:space="preserve">20260721-2_smp544_fly1_clbar</x:t>
  </x:si>
  <x:si>
    <x:t xml:space="preserve">/Users/sophiarenauld/stacks/20260721-2_smp544_fly1_clbar</x:t>
  </x:si>
  <x:si>
    <x:t xml:space="preserve">20260721-3_smp544_fly1_clbar</x:t>
  </x:si>
  <x:si>
    <x:t xml:space="preserve">/Users/sophiarenauld/stacks/20260721-3_smp544_fly1_clbar</x:t>
  </x:si>
  <x:si>
    <x:t xml:space="preserve">20260721-4_smp544_fly1_olheat</x:t>
  </x:si>
  <x:si>
    <x:t xml:space="preserve">/Users/sophiarenauld/stacks/20260721-4_smp544_fly1_olheat</x:t>
  </x:si>
  <x:si>
    <x:t xml:space="preserve">20260722-2_smp544_fly1_clbar</x:t>
  </x:si>
  <x:si>
    <x:t xml:space="preserve">/Users/sophiarenauld/stacks/20260722-2_smp544_fly1_clbar</x:t>
  </x:si>
  <x:si>
    <x:t xml:space="preserve">20261026_1_1_smp544_barjumps</x:t>
  </x:si>
  <x:si>
    <x:t xml:space="preserve">Unreviewed</x:t>
  </x:si>
  <x:si>
    <x:t xml:space="preserve">Processed only; no recorded good-behavior decision; registration QC held</x:t>
  </x:si>
  <x:si>
    <x:t xml:space="preserve">Unassigned; fly identity absent</x:t>
  </x:si>
  <x:si>
    <x:t xml:space="preserve">/Users/sophiarenauld/stacks/smp544_20261026_analysis_20261028/run_report.csv</x:t>
  </x:si>
  <x:si>
    <x:t xml:space="preserve">/Users/sophiarenauld/stacks/2026-10-26/a2p_exploratory_20261027/20261026_1_1_smp544_barjumps</x:t>
  </x:si>
  <x:si>
    <x:t xml:space="preserve">20261026_5_5_smp544_fly2_heatpyramid</x:t>
  </x:si>
  <x:si>
    <x:t xml:space="preserve">SMP544_20261026_F2</x:t>
  </x:si>
  <x:si>
    <x:t xml:space="preserve">Explicit fly number</x:t>
  </x:si>
  <x:si>
    <x:t xml:space="preserve">/Users/sophiarenauld/stacks/2026-10-26/a2p_exploratory_20261027/20261026_5_5_smp544_fly2_heatpyramid</x:t>
  </x:si>
  <x:si>
    <x:t xml:space="preserve">20261026_6_1_smp544_heat_stripe</x:t>
  </x:si>
  <x:si>
    <x:t xml:space="preserve">/Users/sophiarenauld/stacks/2026-10-26/a2p_exploratory_20261027/20261026_6_1_smp544_heat_stripe</x:t>
  </x:si>
  <x:si>
    <x:t xml:space="preserve">20261026_7_1_smp544_heat_stripes</x:t>
  </x:si>
  <x:si>
    <x:t xml:space="preserve">/Users/sophiarenauld/stacks/2026-10-26/a2p_exploratory_20261027/20261026_7_1_smp544_heat_stripes</x:t>
  </x:si>
  <x:si>
    <x:t xml:space="preserve">20261026_8_1_smp544_heatpyramid</x:t>
  </x:si>
  <x:si>
    <x:t xml:space="preserve">/Users/sophiarenauld/stacks/2026-10-26/a2p_exploratory_20261027/20261026_8_1_smp544_heatpyramid</x:t>
  </x:si>
  <x:si>
    <x:t xml:space="preserve">20250812-20_ves041_fly3_clbarjumps</x:t>
  </x:si>
  <x:si>
    <x:t xml:space="preserve">VES041</x:t>
  </x:si>
  <x:si>
    <x:t xml:space="preserve">confirmed: Finder good behavior tag</x:t>
  </x:si>
  <x:si>
    <x:t xml:space="preserve">/Users/sophiarenauld/Documents/GitHub/Wilson_Thesis/Imaging_analysis/reports/ves041_trial_inventory_20261028.csv</x:t>
  </x:si>
  <x:si>
    <x:t xml:space="preserve">/Users/sophiarenauld/stacks/20250812-20_ves041_fly3_clbarjumps</x:t>
  </x:si>
  <x:si>
    <x:t xml:space="preserve">20250812-21_ves041_fly3_olgrating</x:t>
  </x:si>
  <x:si>
    <x:t xml:space="preserve">/Users/sophiarenauld/stacks/20250812-21_ves041_fly3_olgrating</x:t>
  </x:si>
  <x:si>
    <x:t xml:space="preserve">20250812-22_ves041_fly3_bbarjumps2</x:t>
  </x:si>
  <x:si>
    <x:t xml:space="preserve">/Users/sophiarenauld/stacks/20250812-22_ves041_fly3_bbarjumps2</x:t>
  </x:si>
  <x:si>
    <x:t xml:space="preserve">20250813-3_ves041_fly1_olgrating</x:t>
  </x:si>
  <x:si>
    <x:t xml:space="preserve">/Users/sophiarenauld/stacks/20250813-3_ves041_fly1_olgrating</x:t>
  </x:si>
  <x:si>
    <x:t xml:space="preserve">20250819-10_ves041_fly1_olgrating5</x:t>
  </x:si>
  <x:si>
    <x:t xml:space="preserve">/Users/sophiarenauld/stacks/20250819-10_ves041_fly1_olgrating5</x:t>
  </x:si>
  <x:si>
    <x:t xml:space="preserve">20251001-21_ves041_fly3_clbbar</x:t>
  </x:si>
  <x:si>
    <x:t xml:space="preserve">N</x:t>
  </x:si>
  <x:si>
    <x:t xml:space="preserve">not good behavior: user exclusion</x:t>
  </x:si>
  <x:si>
    <x:t xml:space="preserve">/Users/sophiarenauld/stacks/20251001-21_ves041_fly3_clbbar</x:t>
  </x:si>
  <x:si>
    <x:t xml:space="preserve">20260213-2_ves041_clbar</x:t>
  </x:si>
  <x:si>
    <x:t xml:space="preserve">Inferred first fly; later same-date folders explicitly label fly 2</x:t>
  </x:si>
  <x:si>
    <x:t xml:space="preserve">/Users/sophiarenauld/stacks/20260213-2_ves041_clbar</x:t>
  </x:si>
  <x:si>
    <x:t xml:space="preserve">20260213-4_ves041_fly2_clbar</x:t>
  </x:si>
  <x:si>
    <x:t xml:space="preserve">/Users/sophiarenauld/stacks/20260213-4_ves041_fly2_clbar</x:t>
  </x:si>
  <x:si>
    <x:t xml:space="preserve">20260217-2_ves041_vt_clbbar1</x:t>
  </x:si>
  <x:si>
    <x:t xml:space="preserve">/Users/sophiarenauld/stacks/20260217-2_ves041_vt_clbbar1</x:t>
  </x:si>
  <x:si>
    <x:t xml:space="preserve">20260217-3_ves041_vt_clbbar2_actuallydark</x:t>
  </x:si>
  <x:si>
    <x:t xml:space="preserve">/Users/sophiarenauld/stacks/20260217-3_ves041_vt_clbbar2_actuallydark</x:t>
  </x:si>
  <x:si>
    <x:t xml:space="preserve">20260217-4_ves041_vt_clbbar3</x:t>
  </x:si>
  <x:si>
    <x:t xml:space="preserve">/Users/sophiarenauld/stacks/20260217-4_ves041_vt_clbbar3</x:t>
  </x:si>
  <x:si>
    <x:t xml:space="preserve">20260311-1_ves041_1_clbar_1hr</x:t>
  </x:si>
  <x:si>
    <x:t xml:space="preserve">Inferred single unnumbered preparation on this date; confirm identity</x:t>
  </x:si>
  <x:si>
    <x:t xml:space="preserve">/Users/sophiarenauld/stacks/20260311-1_ves041_1_clbar_1hr</x:t>
  </x:si>
  <x:si>
    <x:t xml:space="preserve">20260313-1_ves041_vt_clbar</x:t>
  </x:si>
  <x:si>
    <x:t xml:space="preserve">/Users/sophiarenauld/stacks/20260313-1_ves041_vt_clbar</x:t>
  </x:si>
  <x:si>
    <x:t xml:space="preserve">20260313-4_ves041_vt_clbar_2s_15olf_take2_odor</x:t>
  </x:si>
  <x:si>
    <x:t xml:space="preserve">Odor</x:t>
  </x:si>
  <x:si>
    <x:t xml:space="preserve">/Users/sophiarenauld/stacks/20260313-4_ves041_vt_clbar_2s_15olf_take2_odor</x:t>
  </x:si>
  <x:si>
    <x:t xml:space="preserve">20260318-2_ves041_odor</x:t>
  </x:si>
  <x:si>
    <x:t xml:space="preserve">/Users/sophiarenauld/stacks/20260318-2_ves041_odor</x:t>
  </x:si>
  <x:si>
    <x:t xml:space="preserve">20260427-3_ves041_fly2_heat_20mmbarrier</x:t>
  </x:si>
  <x:si>
    <x:t xml:space="preserve">/Users/sophiarenauld/stacks/20260427-3_ves041_fly2_heat_20mmbarrier</x:t>
  </x:si>
  <x:si>
    <x:t xml:space="preserve">20260427-6_ves041_fly3_heat_80mm</x:t>
  </x:si>
  <x:si>
    <x:t xml:space="preserve">/Users/sophiarenauld/stacks/20260427-6_ves041_fly3_heat_80mm</x:t>
  </x:si>
  <x:si>
    <x:t xml:space="preserve">20260427-7_ves041_fly3_heat_20mm</x:t>
  </x:si>
  <x:si>
    <x:t xml:space="preserve">/Users/sophiarenauld/stacks/20260427-7_ves041_fly3_heat_20mm</x:t>
  </x:si>
  <x:si>
    <x:t xml:space="preserve">20261019_3_2</x:t>
  </x:si>
  <x:si>
    <x:t xml:space="preserve">reviewed: add: good behavior</x:t>
  </x:si>
  <x:si>
    <x:t xml:space="preserve">User confirmed: all recordings on this date are one fly</x:t>
  </x:si>
  <x:si>
    <x:t xml:space="preserve">/Users/sophiarenauld/stacks/2026-10-19/ves041_syt8m_barjummps/192905_938_a91a18c7</x:t>
  </x:si>
  <x:si>
    <x:t xml:space="preserve">20261019_4_1</x:t>
  </x:si>
  <x:si>
    <x:t xml:space="preserve">/Users/sophiarenauld/stacks/2026-10-19/ves041_syt8m_heatbarrier/195226_128_73c8f424</x:t>
  </x:si>
  <x:si>
    <x:t xml:space="preserve">20261019_5_1</x:t>
  </x:si>
  <x:si>
    <x:t xml:space="preserve">/Users/sophiarenauld/stacks/2026-10-19/ves041_syt8m_heatbarrier2/205359_796_a138bba5</x:t>
  </x:si>
  <x:si>
    <x:t xml:space="preserve">20261019_6_1</x:t>
  </x:si>
  <x:si>
    <x:t xml:space="preserve">reviewed: restricted: verified partial recording</x:t>
  </x:si>
  <x:si>
    <x:t xml:space="preserve">/Users/sophiarenauld/stacks/2026-10-19/ves041_syt8m_heatstripe/200227_905_2566ec37</x:t>
  </x:si>
  <x:si>
    <x:t xml:space="preserve">20261019_7_1</x:t>
  </x:si>
  <x:si>
    <x:t xml:space="preserve">/Users/sophiarenauld/stacks/2026-10-19/ves041_syt8m_heatstripe2/202713_884_a38d41fe</x:t>
  </x:si>
  <x:si>
    <x:t xml:space="preserve">20261019_8_2</x:t>
  </x:si>
  <x:si>
    <x:t xml:space="preserve">/Users/sophiarenauld/stacks/2026-10-19/ves041_syt8m_heatstripe3/203444_878_11e00dc7</x:t>
  </x:si>
  <x:si>
    <x:t xml:space="preserve">20261020_11_2</x:t>
  </x:si>
  <x:si>
    <x:t xml:space="preserve">User confirmed: trials 3–6 fly 2; trials 7–13 fly 1</x:t>
  </x:si>
  <x:si>
    <x:t xml:space="preserve">/Users/sophiarenauld/stacks/2026-10-20/20261020_11_2_ves041_syt8m_fly1_heatbarrier_redo</x:t>
  </x:si>
  <x:si>
    <x:t xml:space="preserve">20261020_12_1</x:t>
  </x:si>
  <x:si>
    <x:t xml:space="preserve">/Users/sophiarenauld/stacks/2026-10-20/20261020_12_1_ves041_syt8m_fly1_stripes</x:t>
  </x:si>
  <x:si>
    <x:t xml:space="preserve">20261020_13_1</x:t>
  </x:si>
  <x:si>
    <x:t xml:space="preserve">/Users/sophiarenauld/stacks/2026-10-20/20261020_13_1_ves041_syt8m_fly1_stripes2</x:t>
  </x:si>
  <x:si>
    <x:t xml:space="preserve">20261020_3_1</x:t>
  </x:si>
  <x:si>
    <x:t xml:space="preserve">/Users/sophiarenauld/stacks/2026-10-20/20261020_3_1_ves041_fly2_barjump</x:t>
  </x:si>
  <x:si>
    <x:t xml:space="preserve">20261020_4_2</x:t>
  </x:si>
  <x:si>
    <x:t xml:space="preserve">/Users/sophiarenauld/stacks/2026-10-20/20261020_4_2_ves041_fly2_dark</x:t>
  </x:si>
  <x:si>
    <x:t xml:space="preserve">20261020_5_1</x:t>
  </x:si>
  <x:si>
    <x:t xml:space="preserve">/Users/sophiarenauld/stacks/2026-10-20/20261020_5_1_ves041_fly2_heatgradient</x:t>
  </x:si>
  <x:si>
    <x:t xml:space="preserve">20261020_6_1</x:t>
  </x:si>
  <x:si>
    <x:t xml:space="preserve">/Users/sophiarenauld/stacks/2026-10-20/20261020_6_1_ves041_fly2_heatstripe</x:t>
  </x:si>
  <x:si>
    <x:t xml:space="preserve">20261020_7_1</x:t>
  </x:si>
  <x:si>
    <x:t xml:space="preserve">/Users/sophiarenauld/stacks/2026-10-20/20261020_7_1_ves041_syt8m_fly1_barjump</x:t>
  </x:si>
  <x:si>
    <x:t xml:space="preserve">20261020_8_1</x:t>
  </x:si>
  <x:si>
    <x:t xml:space="preserve">reviewed: restricted: active epochs only</x:t>
  </x:si>
  <x:si>
    <x:t xml:space="preserve">/Users/sophiarenauld/stacks/2026-10-20/20261020_8_1_ves041_syt8m_fly1_barjumps</x:t>
  </x:si>
  <x:si>
    <x:t xml:space="preserve">20261020_9_1</x:t>
  </x:si>
  <x:si>
    <x:t xml:space="preserve">/Users/sophiarenauld/stacks/2026-10-20/20261020_9_1_ves041_syt8m_fly1_dark</x:t>
  </x:si>
  <x:si>
    <x:t xml:space="preserve">20261024_2_3_ves041_barjumps</x:t>
  </x:si>
  <x:si>
    <x:t xml:space="preserve">reviewed: hold: low locomotor sampling</x:t>
  </x:si>
  <x:si>
    <x:t xml:space="preserve">/Users/sophiarenauld/stacks/2026-10-24/ves041_barjumps/201946_637_a39e0974</x:t>
  </x:si>
  <x:si>
    <x:t xml:space="preserve">20261024_2_4_ves041_barjumps</x:t>
  </x:si>
  <x:si>
    <x:t xml:space="preserve">/Users/sophiarenauld/stacks/2026-10-24/ves041_barjumps/221751_217_1e96e609</x:t>
  </x:si>
  <x:si>
    <x:t xml:space="preserve">20261024_3_2_ves041_barrier_bar</x:t>
  </x:si>
  <x:si>
    <x:t xml:space="preserve">/Users/sophiarenauld/stacks/2026-10-24/ves041_barrier_bar/213706_600_71996adc</x:t>
  </x:si>
  <x:si>
    <x:t xml:space="preserve">20261024_4_1_ves041_barrier_bar_multiple</x:t>
  </x:si>
  <x:si>
    <x:t xml:space="preserve">/Users/sophiarenauld/stacks/2026-10-24/ves041_barrier_bar_multiple/214458_559_ca220e07</x:t>
  </x:si>
  <x:si>
    <x:t xml:space="preserve">20261024_5_2_ves041_pyramid_bar</x:t>
  </x:si>
  <x:si>
    <x:t xml:space="preserve">/Users/sophiarenauld/stacks/2026-10-24/ves041_pyramid_bar/212759_082_1086b7b3</x:t>
  </x:si>
  <x:si>
    <x:t xml:space="preserve">20261024_6_3_ves041_stripes_ball</x:t>
  </x:si>
  <x:si>
    <x:t xml:space="preserve">/Users/sophiarenauld/stacks/2026-10-24/ves041_stripes_ball/211308_521_da8c0ebd</x:t>
  </x:si>
  <x:si>
    <x:t xml:space="preserve">20261024_7_1_ves041_stripes_bar</x:t>
  </x:si>
  <x:si>
    <x:t xml:space="preserve">/Users/sophiarenauld/stacks/2026-10-24/ves041_stripes_bar/220212_164_f8f96557</x:t>
  </x:si>
</x:sst>
</file>

<file path=xl/styles.xml><?xml version="1.0" encoding="utf-8"?>
<x:styleSheet xmlns:x="http://schemas.openxmlformats.org/spreadsheetml/2006/main">
  <x:numFmts count="1">
    <x:numFmt numFmtId="164" formatCode="mm/dd/yyyy"/>
  </x:numFmts>
  <x:fonts count="6">
    <x:font>
      <x:sz val="11"/>
      <x:name val="Carlito"/>
    </x:font>
    <x:font>
      <x:b/>
      <x:sz val="14"/>
      <x:color rgb="FF24374A"/>
      <x:name val="Arial"/>
      <x:family val="2"/>
    </x:font>
    <x:font>
      <x:i/>
      <x:sz val="10"/>
      <x:color rgb="FF52616F"/>
      <x:name val="Arial"/>
      <x:family val="2"/>
    </x:font>
    <x:font>
      <x:sz val="10"/>
      <x:color rgb="FF233342"/>
      <x:name val="Arial"/>
      <x:family val="2"/>
    </x:font>
    <x:font>
      <x:b/>
      <x:sz val="10"/>
      <x:color rgb="FFFFFFFF"/>
      <x:name val="Arial"/>
      <x:family val="2"/>
    </x:font>
    <x:font>
      <x:sz val="10"/>
      <x:color rgb="FF52616F"/>
      <x:name val="Arial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1465A"/>
      </x:patternFill>
    </x:fill>
    <x:fill>
      <x:patternFill patternType="solid">
        <x:fgColor rgb="FF526579"/>
      </x:patternFill>
    </x:fill>
  </x:fills>
  <x:borders count="4">
    <x:border>
      <x:left/>
      <x:right/>
      <x:top/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Font="1"/>
    <x:xf numFmtId="0" fontId="2" fillId="0" borderId="0" xfId="0" applyFont="1"/>
    <x:xf numFmtId="0" fontId="3" fillId="0" borderId="0" xfId="0" applyFont="1" applyAlignment="1">
      <x:alignment vertical="center"/>
    </x:xf>
    <x:xf numFmtId="164" fontId="3" fillId="0" borderId="0" xfId="0" applyNumberFormat="1" applyFont="1" applyAlignment="1">
      <x:alignment vertical="center"/>
    </x:xf>
    <x:xf numFmtId="0" fontId="3" fillId="0" borderId="0" xfId="0" applyFont="1" applyAlignment="1">
      <x:alignment horizontal="center" vertical="center"/>
    </x:xf>
    <x:xf numFmtId="0" fontId="4" fillId="2" borderId="1" xfId="0" applyFont="1" applyFill="1" applyBorder="1" applyAlignment="1">
      <x:alignment horizontal="center" vertical="center" wrapText="1"/>
    </x:xf>
    <x:xf numFmtId="0" fontId="4" fillId="2" borderId="2" xfId="0" applyFont="1" applyFill="1" applyBorder="1" applyAlignment="1">
      <x:alignment horizontal="center" vertical="center" wrapText="1"/>
    </x:xf>
    <x:xf numFmtId="0" fontId="4" fillId="2" borderId="3" xfId="0" applyFont="1" applyFill="1" applyBorder="1" applyAlignment="1">
      <x:alignment horizontal="center" vertical="center" wrapText="1"/>
    </x:xf>
    <x:xf numFmtId="0" fontId="3" fillId="0" borderId="0" xfId="0" applyFont="1" applyAlignment="1">
      <x:alignment vertical="center" wrapText="1"/>
    </x:xf>
    <x:xf numFmtId="0" fontId="4" fillId="3" borderId="1" xfId="0" applyFont="1" applyFill="1" applyBorder="1" applyAlignment="1">
      <x:alignment horizontal="center" vertical="center"/>
    </x:xf>
    <x:xf numFmtId="0" fontId="4" fillId="3" borderId="2" xfId="0" applyFont="1" applyFill="1" applyBorder="1" applyAlignment="1">
      <x:alignment horizontal="center" vertical="center"/>
    </x:xf>
    <x:xf numFmtId="0" fontId="4" fillId="3" borderId="3" xfId="0" applyFont="1" applyFill="1" applyBorder="1" applyAlignment="1">
      <x:alignment horizontal="center" vertical="center"/>
    </x:xf>
    <x:xf numFmtId="0" fontId="5" fillId="0" borderId="0" xfId="0" applyFont="1"/>
  </x:cellXfs>
  <x:cellStyles count="1">
    <x:cellStyle name="Normal" xfId="0"/>
  </x:cellStyles>
  <x:dxfs count="5">
    <x:dxf>
      <x:font>
        <x:color rgb="FF755416"/>
      </x:font>
      <x:fill>
        <x:patternFill>
          <x:bgColor rgb="FFFFF0CF"/>
        </x:patternFill>
      </x:fill>
    </x:dxf>
    <x:dxf>
      <x:font>
        <x:color rgb="FF92392F"/>
      </x:font>
      <x:fill>
        <x:patternFill>
          <x:bgColor rgb="FFF8E4E2"/>
        </x:patternFill>
      </x:fill>
    </x:dxf>
    <x:dxf>
      <x:font>
        <x:color rgb="FF755416"/>
      </x:font>
      <x:fill>
        <x:patternFill>
          <x:bgColor rgb="FFFFF0CF"/>
        </x:patternFill>
      </x:fill>
    </x:dxf>
    <x:dxf>
      <x:font>
        <x:b/>
        <x:color rgb="FF92392F"/>
      </x:font>
      <x:fill>
        <x:patternFill>
          <x:bgColor rgb="FFF8E4E2"/>
        </x:patternFill>
      </x:fill>
    </x:dxf>
    <x:dxf>
      <x:font>
        <x:color rgb="FF234F3D"/>
      </x:font>
      <x:fill>
        <x:patternFill>
          <x:bgColor rgb="FFE8F0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acf83a1c69462f" /><Relationship Type="http://schemas.openxmlformats.org/officeDocument/2006/relationships/theme" Target="/xl/theme/theme1.xml" Id="R7465ecb4405a4bc3" /><Relationship Type="http://schemas.openxmlformats.org/officeDocument/2006/relationships/sharedStrings" Target="/xl/sharedStrings.xml" Id="R85deef8c6dd140b8" /><Relationship Type="http://schemas.openxmlformats.org/officeDocument/2006/relationships/worksheet" Target="/xl/worksheets/sheet1.xml" Id="R8fa043cc47094177" /><Relationship Type="http://schemas.openxmlformats.org/officeDocument/2006/relationships/worksheet" Target="/xl/worksheets/sheet2.xml" Id="R761a68c3a0b8443c" /></Relationships>
</file>

<file path=xl/tables/table1.xml><?xml version="1.0" encoding="utf-8"?>
<x:table xmlns:x="http://schemas.openxmlformats.org/spreadsheetml/2006/main" id="2" name="FlyOverview" displayName="FlyOverview" ref="A5:L24" totalsRowShown="0">
  <x:tableColumns count="12">
    <x:tableColumn id="1" name="Fly ID"/>
    <x:tableColumn id="2" name="Date"/>
    <x:tableColumn id="3" name="Dark"/>
    <x:tableColumn id="4" name="CL bar"/>
    <x:tableColumn id="5" name="Bar jumps"/>
    <x:tableColumn id="6" name="Gratings"/>
    <x:tableColumn id="7" name="Heat OL"/>
    <x:tableColumn id="8" name="Heat barrier"/>
    <x:tableColumn id="9" name="Heat pyramid"/>
    <x:tableColumn id="10" name="Heat stripe"/>
    <x:tableColumn id="11" name="Good behavior"/>
    <x:tableColumn id="12" name="Fly identity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TrialRecords" displayName="TrialRecords" ref="A1:J59" headerRowCount="1" totalsRowCount="0" totalsRowShown="0">
  <x:tableColumns count="10">
    <x:tableColumn id="1" name="Trial"/>
    <x:tableColumn id="2" name="Cell type"/>
    <x:tableColumn id="3" name="Date"/>
    <x:tableColumn id="4" name="Fly ID"/>
    <x:tableColumn id="5" name="Good behavior"/>
    <x:tableColumn id="6" name="Trial type"/>
    <x:tableColumn id="7" name="Behavior review"/>
    <x:tableColumn id="8" name="Fly identity basis"/>
    <x:tableColumn id="9" name="Selection source"/>
    <x:tableColumn id="10" name="Recording folde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8b5cfac27ec45e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2a63d93d2f844a7" /></Relationships>
</file>

<file path=xl/worksheets/sheet1.xml><?xml version="1.0" encoding="utf-8"?>
<x:worksheet xmlns:x="http://schemas.openxmlformats.org/spreadsheetml/2006/main">
  <x:sheetPr>
    <x:tabColor rgb="FF31465A"/>
  </x:sheetPr>
  <x:sheetViews>
    <x:sheetView showGridLines="0" workbookViewId="0">
      <x:pane xSplit="2" ySplit="5" topLeftCell="C6" activePane="bottomRight" state="frozen"/>
    </x:sheetView>
  </x:sheetViews>
  <x:sheetFormatPr baseColWidth="10" defaultColWidth="8.83203125" defaultRowHeight="14"/>
  <x:cols>
    <x:col min="1" max="1" width="31" customWidth="1"/>
    <x:col min="2" max="2" width="13" customWidth="1"/>
    <x:col min="3" max="11" width="11" customWidth="1"/>
    <x:col min="12" max="12" width="18" customWidth="1"/>
  </x:cols>
  <x:sheetData>
    <x:row r="2" ht="18">
      <x:c r="A2" s="1" t="s">
        <x:v>0</x:v>
      </x:c>
    </x:row>
    <x:row r="3">
      <x:c r="A3" s="2" t="s">
        <x:v>1</x:v>
      </x:c>
    </x:row>
    <x:row r="5" ht="40" customHeight="1">
      <x:c r="A5" s="6" t="s">
        <x:v>2</x:v>
      </x:c>
      <x:c r="B5" s="7" t="s">
        <x:v>3</x:v>
      </x:c>
      <x:c r="C5" s="7" t="s">
        <x:v>4</x:v>
      </x:c>
      <x:c r="D5" s="7" t="s">
        <x:v>5</x:v>
      </x:c>
      <x:c r="E5" s="7" t="s">
        <x:v>6</x:v>
      </x:c>
      <x:c r="F5" s="7" t="s">
        <x:v>7</x:v>
      </x:c>
      <x:c r="G5" s="7" t="s">
        <x:v>8</x:v>
      </x:c>
      <x:c r="H5" s="7" t="s">
        <x:v>9</x:v>
      </x:c>
      <x:c r="I5" s="7" t="s">
        <x:v>10</x:v>
      </x:c>
      <x:c r="J5" s="7" t="s">
        <x:v>11</x:v>
      </x:c>
      <x:c r="K5" s="7" t="s">
        <x:v>12</x:v>
      </x:c>
      <x:c r="L5" s="8" t="s">
        <x:v>13</x:v>
      </x:c>
    </x:row>
    <x:row r="6" ht="25" customHeight="1">
      <x:c r="A6" s="3" t="s">
        <x:v>14</x:v>
      </x:c>
      <x:c r="B6" s="4">
        <x:v>46223.5</x:v>
      </x:c>
      <x:c r="C6" s="5" t="str">
        <x:f>IF(COUNTIFS('Trial records'!$D$2:$D$59,$A6,'Trial records'!$E$2:$E$59,"Y",'Trial records'!$F$2:$F$59,C$5)&gt;0,"Y","N")</x:f>
        <x:v>Y</x:v>
      </x:c>
      <x:c r="D6" s="5" t="str">
        <x:f>IF(COUNTIFS('Trial records'!$D$2:$D$59,$A6,'Trial records'!$E$2:$E$59,"Y",'Trial records'!$F$2:$F$59,D$5)&gt;0,"Y","N")</x:f>
        <x:v>N</x:v>
      </x:c>
      <x:c r="E6" s="5" t="str">
        <x:f>IF(COUNTIFS('Trial records'!$D$2:$D$59,$A6,'Trial records'!$E$2:$E$59,"Y",'Trial records'!$F$2:$F$59,E$5)&gt;0,"Y","N")</x:f>
        <x:v>N</x:v>
      </x:c>
      <x:c r="F6" s="5" t="str">
        <x:f>IF(COUNTIFS('Trial records'!$D$2:$D$59,$A6,'Trial records'!$E$2:$E$59,"Y",'Trial records'!$F$2:$F$59,F$5)&gt;0,"Y","N")</x:f>
        <x:v>N</x:v>
      </x:c>
      <x:c r="G6" s="5" t="str">
        <x:f>IF(COUNTIFS('Trial records'!$D$2:$D$59,$A6,'Trial records'!$E$2:$E$59,"Y",'Trial records'!$F$2:$F$59,G$5)&gt;0,"Y","N")</x:f>
        <x:v>N</x:v>
      </x:c>
      <x:c r="H6" s="5" t="str">
        <x:f>IF(COUNTIFS('Trial records'!$D$2:$D$59,$A6,'Trial records'!$E$2:$E$59,"Y",'Trial records'!$F$2:$F$59,H$5)&gt;0,"Y","N")</x:f>
        <x:v>N</x:v>
      </x:c>
      <x:c r="I6" s="5" t="str">
        <x:f>IF(COUNTIFS('Trial records'!$D$2:$D$59,$A6,'Trial records'!$E$2:$E$59,"Y",'Trial records'!$F$2:$F$59,I$5)&gt;0,"Y","N")</x:f>
        <x:v>N</x:v>
      </x:c>
      <x:c r="J6" s="5" t="str">
        <x:f>IF(COUNTIFS('Trial records'!$D$2:$D$59,$A6,'Trial records'!$E$2:$E$59,"Y",'Trial records'!$F$2:$F$59,J$5)&gt;0,"Y","N")</x:f>
        <x:v>N</x:v>
      </x:c>
      <x:c r="K6" s="5" t="str">
        <x:f>IF(COUNTIFS('Trial records'!$D$2:$D$59,$A6,'Trial records'!$E$2:$E$59,"Y")&gt;0,"Y","N")</x:f>
        <x:v>Y</x:v>
      </x:c>
      <x:c r="L6" s="3" t="s">
        <x:v>15</x:v>
      </x:c>
    </x:row>
    <x:row r="7" ht="25" customHeight="1">
      <x:c r="A7" s="3" t="s">
        <x:v>16</x:v>
      </x:c>
      <x:c r="B7" s="4">
        <x:v>46224.5</x:v>
      </x:c>
      <x:c r="C7" s="5" t="str">
        <x:f>IF(COUNTIFS('Trial records'!$D$2:$D$59,$A7,'Trial records'!$E$2:$E$59,"Y",'Trial records'!$F$2:$F$59,C$5)&gt;0,"Y","N")</x:f>
        <x:v>N</x:v>
      </x:c>
      <x:c r="D7" s="5" t="str">
        <x:f>IF(COUNTIFS('Trial records'!$D$2:$D$59,$A7,'Trial records'!$E$2:$E$59,"Y",'Trial records'!$F$2:$F$59,D$5)&gt;0,"Y","N")</x:f>
        <x:v>Y</x:v>
      </x:c>
      <x:c r="E7" s="5" t="str">
        <x:f>IF(COUNTIFS('Trial records'!$D$2:$D$59,$A7,'Trial records'!$E$2:$E$59,"Y",'Trial records'!$F$2:$F$59,E$5)&gt;0,"Y","N")</x:f>
        <x:v>N</x:v>
      </x:c>
      <x:c r="F7" s="5" t="str">
        <x:f>IF(COUNTIFS('Trial records'!$D$2:$D$59,$A7,'Trial records'!$E$2:$E$59,"Y",'Trial records'!$F$2:$F$59,F$5)&gt;0,"Y","N")</x:f>
        <x:v>N</x:v>
      </x:c>
      <x:c r="G7" s="5" t="str">
        <x:f>IF(COUNTIFS('Trial records'!$D$2:$D$59,$A7,'Trial records'!$E$2:$E$59,"Y",'Trial records'!$F$2:$F$59,G$5)&gt;0,"Y","N")</x:f>
        <x:v>Y</x:v>
      </x:c>
      <x:c r="H7" s="5" t="str">
        <x:f>IF(COUNTIFS('Trial records'!$D$2:$D$59,$A7,'Trial records'!$E$2:$E$59,"Y",'Trial records'!$F$2:$F$59,H$5)&gt;0,"Y","N")</x:f>
        <x:v>N</x:v>
      </x:c>
      <x:c r="I7" s="5" t="str">
        <x:f>IF(COUNTIFS('Trial records'!$D$2:$D$59,$A7,'Trial records'!$E$2:$E$59,"Y",'Trial records'!$F$2:$F$59,I$5)&gt;0,"Y","N")</x:f>
        <x:v>N</x:v>
      </x:c>
      <x:c r="J7" s="5" t="str">
        <x:f>IF(COUNTIFS('Trial records'!$D$2:$D$59,$A7,'Trial records'!$E$2:$E$59,"Y",'Trial records'!$F$2:$F$59,J$5)&gt;0,"Y","N")</x:f>
        <x:v>N</x:v>
      </x:c>
      <x:c r="K7" s="5" t="str">
        <x:f>IF(COUNTIFS('Trial records'!$D$2:$D$59,$A7,'Trial records'!$E$2:$E$59,"Y")&gt;0,"Y","N")</x:f>
        <x:v>Y</x:v>
      </x:c>
      <x:c r="L7" s="3" t="s">
        <x:v>15</x:v>
      </x:c>
    </x:row>
    <x:row r="8" ht="25" customHeight="1">
      <x:c r="A8" s="3" t="s">
        <x:v>17</x:v>
      </x:c>
      <x:c r="B8" s="4">
        <x:v>46225.5</x:v>
      </x:c>
      <x:c r="C8" s="5" t="str">
        <x:f>IF(COUNTIFS('Trial records'!$D$2:$D$59,$A8,'Trial records'!$E$2:$E$59,"Y",'Trial records'!$F$2:$F$59,C$5)&gt;0,"Y","N")</x:f>
        <x:v>N</x:v>
      </x:c>
      <x:c r="D8" s="5" t="str">
        <x:f>IF(COUNTIFS('Trial records'!$D$2:$D$59,$A8,'Trial records'!$E$2:$E$59,"Y",'Trial records'!$F$2:$F$59,D$5)&gt;0,"Y","N")</x:f>
        <x:v>Y</x:v>
      </x:c>
      <x:c r="E8" s="5" t="str">
        <x:f>IF(COUNTIFS('Trial records'!$D$2:$D$59,$A8,'Trial records'!$E$2:$E$59,"Y",'Trial records'!$F$2:$F$59,E$5)&gt;0,"Y","N")</x:f>
        <x:v>N</x:v>
      </x:c>
      <x:c r="F8" s="5" t="str">
        <x:f>IF(COUNTIFS('Trial records'!$D$2:$D$59,$A8,'Trial records'!$E$2:$E$59,"Y",'Trial records'!$F$2:$F$59,F$5)&gt;0,"Y","N")</x:f>
        <x:v>N</x:v>
      </x:c>
      <x:c r="G8" s="5" t="str">
        <x:f>IF(COUNTIFS('Trial records'!$D$2:$D$59,$A8,'Trial records'!$E$2:$E$59,"Y",'Trial records'!$F$2:$F$59,G$5)&gt;0,"Y","N")</x:f>
        <x:v>N</x:v>
      </x:c>
      <x:c r="H8" s="5" t="str">
        <x:f>IF(COUNTIFS('Trial records'!$D$2:$D$59,$A8,'Trial records'!$E$2:$E$59,"Y",'Trial records'!$F$2:$F$59,H$5)&gt;0,"Y","N")</x:f>
        <x:v>N</x:v>
      </x:c>
      <x:c r="I8" s="5" t="str">
        <x:f>IF(COUNTIFS('Trial records'!$D$2:$D$59,$A8,'Trial records'!$E$2:$E$59,"Y",'Trial records'!$F$2:$F$59,I$5)&gt;0,"Y","N")</x:f>
        <x:v>N</x:v>
      </x:c>
      <x:c r="J8" s="5" t="str">
        <x:f>IF(COUNTIFS('Trial records'!$D$2:$D$59,$A8,'Trial records'!$E$2:$E$59,"Y",'Trial records'!$F$2:$F$59,J$5)&gt;0,"Y","N")</x:f>
        <x:v>N</x:v>
      </x:c>
      <x:c r="K8" s="5" t="str">
        <x:f>IF(COUNTIFS('Trial records'!$D$2:$D$59,$A8,'Trial records'!$E$2:$E$59,"Y")&gt;0,"Y","N")</x:f>
        <x:v>Y</x:v>
      </x:c>
      <x:c r="L8" s="3" t="s">
        <x:v>15</x:v>
      </x:c>
    </x:row>
    <x:row r="9" ht="25" customHeight="1">
      <x:c r="A9" s="3" t="s">
        <x:v>18</x:v>
      </x:c>
      <x:c r="B9" s="4">
        <x:v>45881.5</x:v>
      </x:c>
      <x:c r="C9" s="5" t="str">
        <x:f>IF(COUNTIFS('Trial records'!$D$2:$D$59,$A9,'Trial records'!$E$2:$E$59,"Y",'Trial records'!$F$2:$F$59,C$5)&gt;0,"Y","N")</x:f>
        <x:v>N</x:v>
      </x:c>
      <x:c r="D9" s="5" t="str">
        <x:f>IF(COUNTIFS('Trial records'!$D$2:$D$59,$A9,'Trial records'!$E$2:$E$59,"Y",'Trial records'!$F$2:$F$59,D$5)&gt;0,"Y","N")</x:f>
        <x:v>N</x:v>
      </x:c>
      <x:c r="E9" s="5" t="str">
        <x:f>IF(COUNTIFS('Trial records'!$D$2:$D$59,$A9,'Trial records'!$E$2:$E$59,"Y",'Trial records'!$F$2:$F$59,E$5)&gt;0,"Y","N")</x:f>
        <x:v>Y</x:v>
      </x:c>
      <x:c r="F9" s="5" t="str">
        <x:f>IF(COUNTIFS('Trial records'!$D$2:$D$59,$A9,'Trial records'!$E$2:$E$59,"Y",'Trial records'!$F$2:$F$59,F$5)&gt;0,"Y","N")</x:f>
        <x:v>Y</x:v>
      </x:c>
      <x:c r="G9" s="5" t="str">
        <x:f>IF(COUNTIFS('Trial records'!$D$2:$D$59,$A9,'Trial records'!$E$2:$E$59,"Y",'Trial records'!$F$2:$F$59,G$5)&gt;0,"Y","N")</x:f>
        <x:v>N</x:v>
      </x:c>
      <x:c r="H9" s="5" t="str">
        <x:f>IF(COUNTIFS('Trial records'!$D$2:$D$59,$A9,'Trial records'!$E$2:$E$59,"Y",'Trial records'!$F$2:$F$59,H$5)&gt;0,"Y","N")</x:f>
        <x:v>N</x:v>
      </x:c>
      <x:c r="I9" s="5" t="str">
        <x:f>IF(COUNTIFS('Trial records'!$D$2:$D$59,$A9,'Trial records'!$E$2:$E$59,"Y",'Trial records'!$F$2:$F$59,I$5)&gt;0,"Y","N")</x:f>
        <x:v>N</x:v>
      </x:c>
      <x:c r="J9" s="5" t="str">
        <x:f>IF(COUNTIFS('Trial records'!$D$2:$D$59,$A9,'Trial records'!$E$2:$E$59,"Y",'Trial records'!$F$2:$F$59,J$5)&gt;0,"Y","N")</x:f>
        <x:v>N</x:v>
      </x:c>
      <x:c r="K9" s="5" t="str">
        <x:f>IF(COUNTIFS('Trial records'!$D$2:$D$59,$A9,'Trial records'!$E$2:$E$59,"Y")&gt;0,"Y","N")</x:f>
        <x:v>Y</x:v>
      </x:c>
      <x:c r="L9" s="3" t="s">
        <x:v>15</x:v>
      </x:c>
    </x:row>
    <x:row r="10" ht="25" customHeight="1">
      <x:c r="A10" s="3" t="s">
        <x:v>19</x:v>
      </x:c>
      <x:c r="B10" s="4">
        <x:v>45882.5</x:v>
      </x:c>
      <x:c r="C10" s="5" t="str">
        <x:f>IF(COUNTIFS('Trial records'!$D$2:$D$59,$A10,'Trial records'!$E$2:$E$59,"Y",'Trial records'!$F$2:$F$59,C$5)&gt;0,"Y","N")</x:f>
        <x:v>N</x:v>
      </x:c>
      <x:c r="D10" s="5" t="str">
        <x:f>IF(COUNTIFS('Trial records'!$D$2:$D$59,$A10,'Trial records'!$E$2:$E$59,"Y",'Trial records'!$F$2:$F$59,D$5)&gt;0,"Y","N")</x:f>
        <x:v>N</x:v>
      </x:c>
      <x:c r="E10" s="5" t="str">
        <x:f>IF(COUNTIFS('Trial records'!$D$2:$D$59,$A10,'Trial records'!$E$2:$E$59,"Y",'Trial records'!$F$2:$F$59,E$5)&gt;0,"Y","N")</x:f>
        <x:v>N</x:v>
      </x:c>
      <x:c r="F10" s="5" t="str">
        <x:f>IF(COUNTIFS('Trial records'!$D$2:$D$59,$A10,'Trial records'!$E$2:$E$59,"Y",'Trial records'!$F$2:$F$59,F$5)&gt;0,"Y","N")</x:f>
        <x:v>Y</x:v>
      </x:c>
      <x:c r="G10" s="5" t="str">
        <x:f>IF(COUNTIFS('Trial records'!$D$2:$D$59,$A10,'Trial records'!$E$2:$E$59,"Y",'Trial records'!$F$2:$F$59,G$5)&gt;0,"Y","N")</x:f>
        <x:v>N</x:v>
      </x:c>
      <x:c r="H10" s="5" t="str">
        <x:f>IF(COUNTIFS('Trial records'!$D$2:$D$59,$A10,'Trial records'!$E$2:$E$59,"Y",'Trial records'!$F$2:$F$59,H$5)&gt;0,"Y","N")</x:f>
        <x:v>N</x:v>
      </x:c>
      <x:c r="I10" s="5" t="str">
        <x:f>IF(COUNTIFS('Trial records'!$D$2:$D$59,$A10,'Trial records'!$E$2:$E$59,"Y",'Trial records'!$F$2:$F$59,I$5)&gt;0,"Y","N")</x:f>
        <x:v>N</x:v>
      </x:c>
      <x:c r="J10" s="5" t="str">
        <x:f>IF(COUNTIFS('Trial records'!$D$2:$D$59,$A10,'Trial records'!$E$2:$E$59,"Y",'Trial records'!$F$2:$F$59,J$5)&gt;0,"Y","N")</x:f>
        <x:v>N</x:v>
      </x:c>
      <x:c r="K10" s="5" t="str">
        <x:f>IF(COUNTIFS('Trial records'!$D$2:$D$59,$A10,'Trial records'!$E$2:$E$59,"Y")&gt;0,"Y","N")</x:f>
        <x:v>Y</x:v>
      </x:c>
      <x:c r="L10" s="3" t="s">
        <x:v>15</x:v>
      </x:c>
    </x:row>
    <x:row r="11" ht="25" customHeight="1">
      <x:c r="A11" s="3" t="s">
        <x:v>20</x:v>
      </x:c>
      <x:c r="B11" s="4">
        <x:v>45888.5</x:v>
      </x:c>
      <x:c r="C11" s="5" t="str">
        <x:f>IF(COUNTIFS('Trial records'!$D$2:$D$59,$A11,'Trial records'!$E$2:$E$59,"Y",'Trial records'!$F$2:$F$59,C$5)&gt;0,"Y","N")</x:f>
        <x:v>N</x:v>
      </x:c>
      <x:c r="D11" s="5" t="str">
        <x:f>IF(COUNTIFS('Trial records'!$D$2:$D$59,$A11,'Trial records'!$E$2:$E$59,"Y",'Trial records'!$F$2:$F$59,D$5)&gt;0,"Y","N")</x:f>
        <x:v>N</x:v>
      </x:c>
      <x:c r="E11" s="5" t="str">
        <x:f>IF(COUNTIFS('Trial records'!$D$2:$D$59,$A11,'Trial records'!$E$2:$E$59,"Y",'Trial records'!$F$2:$F$59,E$5)&gt;0,"Y","N")</x:f>
        <x:v>N</x:v>
      </x:c>
      <x:c r="F11" s="5" t="str">
        <x:f>IF(COUNTIFS('Trial records'!$D$2:$D$59,$A11,'Trial records'!$E$2:$E$59,"Y",'Trial records'!$F$2:$F$59,F$5)&gt;0,"Y","N")</x:f>
        <x:v>Y</x:v>
      </x:c>
      <x:c r="G11" s="5" t="str">
        <x:f>IF(COUNTIFS('Trial records'!$D$2:$D$59,$A11,'Trial records'!$E$2:$E$59,"Y",'Trial records'!$F$2:$F$59,G$5)&gt;0,"Y","N")</x:f>
        <x:v>N</x:v>
      </x:c>
      <x:c r="H11" s="5" t="str">
        <x:f>IF(COUNTIFS('Trial records'!$D$2:$D$59,$A11,'Trial records'!$E$2:$E$59,"Y",'Trial records'!$F$2:$F$59,H$5)&gt;0,"Y","N")</x:f>
        <x:v>N</x:v>
      </x:c>
      <x:c r="I11" s="5" t="str">
        <x:f>IF(COUNTIFS('Trial records'!$D$2:$D$59,$A11,'Trial records'!$E$2:$E$59,"Y",'Trial records'!$F$2:$F$59,I$5)&gt;0,"Y","N")</x:f>
        <x:v>N</x:v>
      </x:c>
      <x:c r="J11" s="5" t="str">
        <x:f>IF(COUNTIFS('Trial records'!$D$2:$D$59,$A11,'Trial records'!$E$2:$E$59,"Y",'Trial records'!$F$2:$F$59,J$5)&gt;0,"Y","N")</x:f>
        <x:v>N</x:v>
      </x:c>
      <x:c r="K11" s="5" t="str">
        <x:f>IF(COUNTIFS('Trial records'!$D$2:$D$59,$A11,'Trial records'!$E$2:$E$59,"Y")&gt;0,"Y","N")</x:f>
        <x:v>Y</x:v>
      </x:c>
      <x:c r="L11" s="3" t="s">
        <x:v>15</x:v>
      </x:c>
    </x:row>
    <x:row r="12" ht="25" customHeight="1">
      <x:c r="A12" s="3" t="s">
        <x:v>21</x:v>
      </x:c>
      <x:c r="B12" s="4">
        <x:v>45931.5</x:v>
      </x:c>
      <x:c r="C12" s="5" t="str">
        <x:f>IF(COUNTIFS('Trial records'!$D$2:$D$59,$A12,'Trial records'!$E$2:$E$59,"Y",'Trial records'!$F$2:$F$59,C$5)&gt;0,"Y","N")</x:f>
        <x:v>N</x:v>
      </x:c>
      <x:c r="D12" s="5" t="str">
        <x:f>IF(COUNTIFS('Trial records'!$D$2:$D$59,$A12,'Trial records'!$E$2:$E$59,"Y",'Trial records'!$F$2:$F$59,D$5)&gt;0,"Y","N")</x:f>
        <x:v>N</x:v>
      </x:c>
      <x:c r="E12" s="5" t="str">
        <x:f>IF(COUNTIFS('Trial records'!$D$2:$D$59,$A12,'Trial records'!$E$2:$E$59,"Y",'Trial records'!$F$2:$F$59,E$5)&gt;0,"Y","N")</x:f>
        <x:v>N</x:v>
      </x:c>
      <x:c r="F12" s="5" t="str">
        <x:f>IF(COUNTIFS('Trial records'!$D$2:$D$59,$A12,'Trial records'!$E$2:$E$59,"Y",'Trial records'!$F$2:$F$59,F$5)&gt;0,"Y","N")</x:f>
        <x:v>N</x:v>
      </x:c>
      <x:c r="G12" s="5" t="str">
        <x:f>IF(COUNTIFS('Trial records'!$D$2:$D$59,$A12,'Trial records'!$E$2:$E$59,"Y",'Trial records'!$F$2:$F$59,G$5)&gt;0,"Y","N")</x:f>
        <x:v>N</x:v>
      </x:c>
      <x:c r="H12" s="5" t="str">
        <x:f>IF(COUNTIFS('Trial records'!$D$2:$D$59,$A12,'Trial records'!$E$2:$E$59,"Y",'Trial records'!$F$2:$F$59,H$5)&gt;0,"Y","N")</x:f>
        <x:v>N</x:v>
      </x:c>
      <x:c r="I12" s="5" t="str">
        <x:f>IF(COUNTIFS('Trial records'!$D$2:$D$59,$A12,'Trial records'!$E$2:$E$59,"Y",'Trial records'!$F$2:$F$59,I$5)&gt;0,"Y","N")</x:f>
        <x:v>N</x:v>
      </x:c>
      <x:c r="J12" s="5" t="str">
        <x:f>IF(COUNTIFS('Trial records'!$D$2:$D$59,$A12,'Trial records'!$E$2:$E$59,"Y",'Trial records'!$F$2:$F$59,J$5)&gt;0,"Y","N")</x:f>
        <x:v>N</x:v>
      </x:c>
      <x:c r="K12" s="5" t="str">
        <x:f>IF(COUNTIFS('Trial records'!$D$2:$D$59,$A12,'Trial records'!$E$2:$E$59,"Y")&gt;0,"Y","N")</x:f>
        <x:v>N</x:v>
      </x:c>
      <x:c r="L12" s="3" t="s">
        <x:v>15</x:v>
      </x:c>
    </x:row>
    <x:row r="13" ht="25" customHeight="1">
      <x:c r="A13" s="3" t="s">
        <x:v>22</x:v>
      </x:c>
      <x:c r="B13" s="4">
        <x:v>46066.5</x:v>
      </x:c>
      <x:c r="C13" s="5" t="str">
        <x:f>IF(COUNTIFS('Trial records'!$D$2:$D$59,$A13,'Trial records'!$E$2:$E$59,"Y",'Trial records'!$F$2:$F$59,C$5)&gt;0,"Y","N")</x:f>
        <x:v>N</x:v>
      </x:c>
      <x:c r="D13" s="5" t="str">
        <x:f>IF(COUNTIFS('Trial records'!$D$2:$D$59,$A13,'Trial records'!$E$2:$E$59,"Y",'Trial records'!$F$2:$F$59,D$5)&gt;0,"Y","N")</x:f>
        <x:v>N</x:v>
      </x:c>
      <x:c r="E13" s="5" t="str">
        <x:f>IF(COUNTIFS('Trial records'!$D$2:$D$59,$A13,'Trial records'!$E$2:$E$59,"Y",'Trial records'!$F$2:$F$59,E$5)&gt;0,"Y","N")</x:f>
        <x:v>N</x:v>
      </x:c>
      <x:c r="F13" s="5" t="str">
        <x:f>IF(COUNTIFS('Trial records'!$D$2:$D$59,$A13,'Trial records'!$E$2:$E$59,"Y",'Trial records'!$F$2:$F$59,F$5)&gt;0,"Y","N")</x:f>
        <x:v>N</x:v>
      </x:c>
      <x:c r="G13" s="5" t="str">
        <x:f>IF(COUNTIFS('Trial records'!$D$2:$D$59,$A13,'Trial records'!$E$2:$E$59,"Y",'Trial records'!$F$2:$F$59,G$5)&gt;0,"Y","N")</x:f>
        <x:v>N</x:v>
      </x:c>
      <x:c r="H13" s="5" t="str">
        <x:f>IF(COUNTIFS('Trial records'!$D$2:$D$59,$A13,'Trial records'!$E$2:$E$59,"Y",'Trial records'!$F$2:$F$59,H$5)&gt;0,"Y","N")</x:f>
        <x:v>N</x:v>
      </x:c>
      <x:c r="I13" s="5" t="str">
        <x:f>IF(COUNTIFS('Trial records'!$D$2:$D$59,$A13,'Trial records'!$E$2:$E$59,"Y",'Trial records'!$F$2:$F$59,I$5)&gt;0,"Y","N")</x:f>
        <x:v>N</x:v>
      </x:c>
      <x:c r="J13" s="5" t="str">
        <x:f>IF(COUNTIFS('Trial records'!$D$2:$D$59,$A13,'Trial records'!$E$2:$E$59,"Y",'Trial records'!$F$2:$F$59,J$5)&gt;0,"Y","N")</x:f>
        <x:v>N</x:v>
      </x:c>
      <x:c r="K13" s="5" t="str">
        <x:f>IF(COUNTIFS('Trial records'!$D$2:$D$59,$A13,'Trial records'!$E$2:$E$59,"Y")&gt;0,"Y","N")</x:f>
        <x:v>N</x:v>
      </x:c>
      <x:c r="L13" s="3" t="s">
        <x:v>23</x:v>
      </x:c>
    </x:row>
    <x:row r="14" ht="25" customHeight="1">
      <x:c r="A14" s="3" t="s">
        <x:v>24</x:v>
      </x:c>
      <x:c r="B14" s="4">
        <x:v>46066.5</x:v>
      </x:c>
      <x:c r="C14" s="5" t="str">
        <x:f>IF(COUNTIFS('Trial records'!$D$2:$D$59,$A14,'Trial records'!$E$2:$E$59,"Y",'Trial records'!$F$2:$F$59,C$5)&gt;0,"Y","N")</x:f>
        <x:v>N</x:v>
      </x:c>
      <x:c r="D14" s="5" t="str">
        <x:f>IF(COUNTIFS('Trial records'!$D$2:$D$59,$A14,'Trial records'!$E$2:$E$59,"Y",'Trial records'!$F$2:$F$59,D$5)&gt;0,"Y","N")</x:f>
        <x:v>N</x:v>
      </x:c>
      <x:c r="E14" s="5" t="str">
        <x:f>IF(COUNTIFS('Trial records'!$D$2:$D$59,$A14,'Trial records'!$E$2:$E$59,"Y",'Trial records'!$F$2:$F$59,E$5)&gt;0,"Y","N")</x:f>
        <x:v>N</x:v>
      </x:c>
      <x:c r="F14" s="5" t="str">
        <x:f>IF(COUNTIFS('Trial records'!$D$2:$D$59,$A14,'Trial records'!$E$2:$E$59,"Y",'Trial records'!$F$2:$F$59,F$5)&gt;0,"Y","N")</x:f>
        <x:v>N</x:v>
      </x:c>
      <x:c r="G14" s="5" t="str">
        <x:f>IF(COUNTIFS('Trial records'!$D$2:$D$59,$A14,'Trial records'!$E$2:$E$59,"Y",'Trial records'!$F$2:$F$59,G$5)&gt;0,"Y","N")</x:f>
        <x:v>N</x:v>
      </x:c>
      <x:c r="H14" s="5" t="str">
        <x:f>IF(COUNTIFS('Trial records'!$D$2:$D$59,$A14,'Trial records'!$E$2:$E$59,"Y",'Trial records'!$F$2:$F$59,H$5)&gt;0,"Y","N")</x:f>
        <x:v>N</x:v>
      </x:c>
      <x:c r="I14" s="5" t="str">
        <x:f>IF(COUNTIFS('Trial records'!$D$2:$D$59,$A14,'Trial records'!$E$2:$E$59,"Y",'Trial records'!$F$2:$F$59,I$5)&gt;0,"Y","N")</x:f>
        <x:v>N</x:v>
      </x:c>
      <x:c r="J14" s="5" t="str">
        <x:f>IF(COUNTIFS('Trial records'!$D$2:$D$59,$A14,'Trial records'!$E$2:$E$59,"Y",'Trial records'!$F$2:$F$59,J$5)&gt;0,"Y","N")</x:f>
        <x:v>N</x:v>
      </x:c>
      <x:c r="K14" s="5" t="str">
        <x:f>IF(COUNTIFS('Trial records'!$D$2:$D$59,$A14,'Trial records'!$E$2:$E$59,"Y")&gt;0,"Y","N")</x:f>
        <x:v>N</x:v>
      </x:c>
      <x:c r="L14" s="3" t="s">
        <x:v>15</x:v>
      </x:c>
    </x:row>
    <x:row r="15" ht="25" customHeight="1">
      <x:c r="A15" s="3" t="s">
        <x:v>25</x:v>
      </x:c>
      <x:c r="B15" s="4">
        <x:v>46070.5</x:v>
      </x:c>
      <x:c r="C15" s="5" t="str">
        <x:f>IF(COUNTIFS('Trial records'!$D$2:$D$59,$A15,'Trial records'!$E$2:$E$59,"Y",'Trial records'!$F$2:$F$59,C$5)&gt;0,"Y","N")</x:f>
        <x:v>Y</x:v>
      </x:c>
      <x:c r="D15" s="5" t="str">
        <x:f>IF(COUNTIFS('Trial records'!$D$2:$D$59,$A15,'Trial records'!$E$2:$E$59,"Y",'Trial records'!$F$2:$F$59,D$5)&gt;0,"Y","N")</x:f>
        <x:v>Y</x:v>
      </x:c>
      <x:c r="E15" s="5" t="str">
        <x:f>IF(COUNTIFS('Trial records'!$D$2:$D$59,$A15,'Trial records'!$E$2:$E$59,"Y",'Trial records'!$F$2:$F$59,E$5)&gt;0,"Y","N")</x:f>
        <x:v>N</x:v>
      </x:c>
      <x:c r="F15" s="5" t="str">
        <x:f>IF(COUNTIFS('Trial records'!$D$2:$D$59,$A15,'Trial records'!$E$2:$E$59,"Y",'Trial records'!$F$2:$F$59,F$5)&gt;0,"Y","N")</x:f>
        <x:v>N</x:v>
      </x:c>
      <x:c r="G15" s="5" t="str">
        <x:f>IF(COUNTIFS('Trial records'!$D$2:$D$59,$A15,'Trial records'!$E$2:$E$59,"Y",'Trial records'!$F$2:$F$59,G$5)&gt;0,"Y","N")</x:f>
        <x:v>N</x:v>
      </x:c>
      <x:c r="H15" s="5" t="str">
        <x:f>IF(COUNTIFS('Trial records'!$D$2:$D$59,$A15,'Trial records'!$E$2:$E$59,"Y",'Trial records'!$F$2:$F$59,H$5)&gt;0,"Y","N")</x:f>
        <x:v>N</x:v>
      </x:c>
      <x:c r="I15" s="5" t="str">
        <x:f>IF(COUNTIFS('Trial records'!$D$2:$D$59,$A15,'Trial records'!$E$2:$E$59,"Y",'Trial records'!$F$2:$F$59,I$5)&gt;0,"Y","N")</x:f>
        <x:v>N</x:v>
      </x:c>
      <x:c r="J15" s="5" t="str">
        <x:f>IF(COUNTIFS('Trial records'!$D$2:$D$59,$A15,'Trial records'!$E$2:$E$59,"Y",'Trial records'!$F$2:$F$59,J$5)&gt;0,"Y","N")</x:f>
        <x:v>N</x:v>
      </x:c>
      <x:c r="K15" s="5" t="str">
        <x:f>IF(COUNTIFS('Trial records'!$D$2:$D$59,$A15,'Trial records'!$E$2:$E$59,"Y")&gt;0,"Y","N")</x:f>
        <x:v>Y</x:v>
      </x:c>
      <x:c r="L15" s="3" t="s">
        <x:v>23</x:v>
      </x:c>
    </x:row>
    <x:row r="16" ht="25" customHeight="1">
      <x:c r="A16" s="3" t="s">
        <x:v>26</x:v>
      </x:c>
      <x:c r="B16" s="4">
        <x:v>46092.5</x:v>
      </x:c>
      <x:c r="C16" s="5" t="str">
        <x:f>IF(COUNTIFS('Trial records'!$D$2:$D$59,$A16,'Trial records'!$E$2:$E$59,"Y",'Trial records'!$F$2:$F$59,C$5)&gt;0,"Y","N")</x:f>
        <x:v>N</x:v>
      </x:c>
      <x:c r="D16" s="5" t="str">
        <x:f>IF(COUNTIFS('Trial records'!$D$2:$D$59,$A16,'Trial records'!$E$2:$E$59,"Y",'Trial records'!$F$2:$F$59,D$5)&gt;0,"Y","N")</x:f>
        <x:v>Y</x:v>
      </x:c>
      <x:c r="E16" s="5" t="str">
        <x:f>IF(COUNTIFS('Trial records'!$D$2:$D$59,$A16,'Trial records'!$E$2:$E$59,"Y",'Trial records'!$F$2:$F$59,E$5)&gt;0,"Y","N")</x:f>
        <x:v>N</x:v>
      </x:c>
      <x:c r="F16" s="5" t="str">
        <x:f>IF(COUNTIFS('Trial records'!$D$2:$D$59,$A16,'Trial records'!$E$2:$E$59,"Y",'Trial records'!$F$2:$F$59,F$5)&gt;0,"Y","N")</x:f>
        <x:v>N</x:v>
      </x:c>
      <x:c r="G16" s="5" t="str">
        <x:f>IF(COUNTIFS('Trial records'!$D$2:$D$59,$A16,'Trial records'!$E$2:$E$59,"Y",'Trial records'!$F$2:$F$59,G$5)&gt;0,"Y","N")</x:f>
        <x:v>N</x:v>
      </x:c>
      <x:c r="H16" s="5" t="str">
        <x:f>IF(COUNTIFS('Trial records'!$D$2:$D$59,$A16,'Trial records'!$E$2:$E$59,"Y",'Trial records'!$F$2:$F$59,H$5)&gt;0,"Y","N")</x:f>
        <x:v>N</x:v>
      </x:c>
      <x:c r="I16" s="5" t="str">
        <x:f>IF(COUNTIFS('Trial records'!$D$2:$D$59,$A16,'Trial records'!$E$2:$E$59,"Y",'Trial records'!$F$2:$F$59,I$5)&gt;0,"Y","N")</x:f>
        <x:v>N</x:v>
      </x:c>
      <x:c r="J16" s="5" t="str">
        <x:f>IF(COUNTIFS('Trial records'!$D$2:$D$59,$A16,'Trial records'!$E$2:$E$59,"Y",'Trial records'!$F$2:$F$59,J$5)&gt;0,"Y","N")</x:f>
        <x:v>N</x:v>
      </x:c>
      <x:c r="K16" s="5" t="str">
        <x:f>IF(COUNTIFS('Trial records'!$D$2:$D$59,$A16,'Trial records'!$E$2:$E$59,"Y")&gt;0,"Y","N")</x:f>
        <x:v>Y</x:v>
      </x:c>
      <x:c r="L16" s="3" t="s">
        <x:v>23</x:v>
      </x:c>
    </x:row>
    <x:row r="17" ht="25" customHeight="1">
      <x:c r="A17" s="3" t="s">
        <x:v>27</x:v>
      </x:c>
      <x:c r="B17" s="4">
        <x:v>46094.5</x:v>
      </x:c>
      <x:c r="C17" s="5" t="str">
        <x:f>IF(COUNTIFS('Trial records'!$D$2:$D$59,$A17,'Trial records'!$E$2:$E$59,"Y",'Trial records'!$F$2:$F$59,C$5)&gt;0,"Y","N")</x:f>
        <x:v>N</x:v>
      </x:c>
      <x:c r="D17" s="5" t="str">
        <x:f>IF(COUNTIFS('Trial records'!$D$2:$D$59,$A17,'Trial records'!$E$2:$E$59,"Y",'Trial records'!$F$2:$F$59,D$5)&gt;0,"Y","N")</x:f>
        <x:v>Y</x:v>
      </x:c>
      <x:c r="E17" s="5" t="str">
        <x:f>IF(COUNTIFS('Trial records'!$D$2:$D$59,$A17,'Trial records'!$E$2:$E$59,"Y",'Trial records'!$F$2:$F$59,E$5)&gt;0,"Y","N")</x:f>
        <x:v>N</x:v>
      </x:c>
      <x:c r="F17" s="5" t="str">
        <x:f>IF(COUNTIFS('Trial records'!$D$2:$D$59,$A17,'Trial records'!$E$2:$E$59,"Y",'Trial records'!$F$2:$F$59,F$5)&gt;0,"Y","N")</x:f>
        <x:v>N</x:v>
      </x:c>
      <x:c r="G17" s="5" t="str">
        <x:f>IF(COUNTIFS('Trial records'!$D$2:$D$59,$A17,'Trial records'!$E$2:$E$59,"Y",'Trial records'!$F$2:$F$59,G$5)&gt;0,"Y","N")</x:f>
        <x:v>N</x:v>
      </x:c>
      <x:c r="H17" s="5" t="str">
        <x:f>IF(COUNTIFS('Trial records'!$D$2:$D$59,$A17,'Trial records'!$E$2:$E$59,"Y",'Trial records'!$F$2:$F$59,H$5)&gt;0,"Y","N")</x:f>
        <x:v>N</x:v>
      </x:c>
      <x:c r="I17" s="5" t="str">
        <x:f>IF(COUNTIFS('Trial records'!$D$2:$D$59,$A17,'Trial records'!$E$2:$E$59,"Y",'Trial records'!$F$2:$F$59,I$5)&gt;0,"Y","N")</x:f>
        <x:v>N</x:v>
      </x:c>
      <x:c r="J17" s="5" t="str">
        <x:f>IF(COUNTIFS('Trial records'!$D$2:$D$59,$A17,'Trial records'!$E$2:$E$59,"Y",'Trial records'!$F$2:$F$59,J$5)&gt;0,"Y","N")</x:f>
        <x:v>N</x:v>
      </x:c>
      <x:c r="K17" s="5" t="str">
        <x:f>IF(COUNTIFS('Trial records'!$D$2:$D$59,$A17,'Trial records'!$E$2:$E$59,"Y")&gt;0,"Y","N")</x:f>
        <x:v>Y</x:v>
      </x:c>
      <x:c r="L17" s="3" t="s">
        <x:v>23</x:v>
      </x:c>
    </x:row>
    <x:row r="18" ht="25" customHeight="1">
      <x:c r="A18" s="3" t="s">
        <x:v>28</x:v>
      </x:c>
      <x:c r="B18" s="4">
        <x:v>46099.5</x:v>
      </x:c>
      <x:c r="C18" s="5" t="str">
        <x:f>IF(COUNTIFS('Trial records'!$D$2:$D$59,$A18,'Trial records'!$E$2:$E$59,"Y",'Trial records'!$F$2:$F$59,C$5)&gt;0,"Y","N")</x:f>
        <x:v>N</x:v>
      </x:c>
      <x:c r="D18" s="5" t="str">
        <x:f>IF(COUNTIFS('Trial records'!$D$2:$D$59,$A18,'Trial records'!$E$2:$E$59,"Y",'Trial records'!$F$2:$F$59,D$5)&gt;0,"Y","N")</x:f>
        <x:v>N</x:v>
      </x:c>
      <x:c r="E18" s="5" t="str">
        <x:f>IF(COUNTIFS('Trial records'!$D$2:$D$59,$A18,'Trial records'!$E$2:$E$59,"Y",'Trial records'!$F$2:$F$59,E$5)&gt;0,"Y","N")</x:f>
        <x:v>N</x:v>
      </x:c>
      <x:c r="F18" s="5" t="str">
        <x:f>IF(COUNTIFS('Trial records'!$D$2:$D$59,$A18,'Trial records'!$E$2:$E$59,"Y",'Trial records'!$F$2:$F$59,F$5)&gt;0,"Y","N")</x:f>
        <x:v>N</x:v>
      </x:c>
      <x:c r="G18" s="5" t="str">
        <x:f>IF(COUNTIFS('Trial records'!$D$2:$D$59,$A18,'Trial records'!$E$2:$E$59,"Y",'Trial records'!$F$2:$F$59,G$5)&gt;0,"Y","N")</x:f>
        <x:v>N</x:v>
      </x:c>
      <x:c r="H18" s="5" t="str">
        <x:f>IF(COUNTIFS('Trial records'!$D$2:$D$59,$A18,'Trial records'!$E$2:$E$59,"Y",'Trial records'!$F$2:$F$59,H$5)&gt;0,"Y","N")</x:f>
        <x:v>N</x:v>
      </x:c>
      <x:c r="I18" s="5" t="str">
        <x:f>IF(COUNTIFS('Trial records'!$D$2:$D$59,$A18,'Trial records'!$E$2:$E$59,"Y",'Trial records'!$F$2:$F$59,I$5)&gt;0,"Y","N")</x:f>
        <x:v>N</x:v>
      </x:c>
      <x:c r="J18" s="5" t="str">
        <x:f>IF(COUNTIFS('Trial records'!$D$2:$D$59,$A18,'Trial records'!$E$2:$E$59,"Y",'Trial records'!$F$2:$F$59,J$5)&gt;0,"Y","N")</x:f>
        <x:v>N</x:v>
      </x:c>
      <x:c r="K18" s="5" t="str">
        <x:f>IF(COUNTIFS('Trial records'!$D$2:$D$59,$A18,'Trial records'!$E$2:$E$59,"Y")&gt;0,"Y","N")</x:f>
        <x:v>Y</x:v>
      </x:c>
      <x:c r="L18" s="3" t="s">
        <x:v>23</x:v>
      </x:c>
    </x:row>
    <x:row r="19" ht="25" customHeight="1">
      <x:c r="A19" s="3" t="s">
        <x:v>29</x:v>
      </x:c>
      <x:c r="B19" s="4">
        <x:v>46139.5</x:v>
      </x:c>
      <x:c r="C19" s="5" t="str">
        <x:f>IF(COUNTIFS('Trial records'!$D$2:$D$59,$A19,'Trial records'!$E$2:$E$59,"Y",'Trial records'!$F$2:$F$59,C$5)&gt;0,"Y","N")</x:f>
        <x:v>N</x:v>
      </x:c>
      <x:c r="D19" s="5" t="str">
        <x:f>IF(COUNTIFS('Trial records'!$D$2:$D$59,$A19,'Trial records'!$E$2:$E$59,"Y",'Trial records'!$F$2:$F$59,D$5)&gt;0,"Y","N")</x:f>
        <x:v>N</x:v>
      </x:c>
      <x:c r="E19" s="5" t="str">
        <x:f>IF(COUNTIFS('Trial records'!$D$2:$D$59,$A19,'Trial records'!$E$2:$E$59,"Y",'Trial records'!$F$2:$F$59,E$5)&gt;0,"Y","N")</x:f>
        <x:v>N</x:v>
      </x:c>
      <x:c r="F19" s="5" t="str">
        <x:f>IF(COUNTIFS('Trial records'!$D$2:$D$59,$A19,'Trial records'!$E$2:$E$59,"Y",'Trial records'!$F$2:$F$59,F$5)&gt;0,"Y","N")</x:f>
        <x:v>N</x:v>
      </x:c>
      <x:c r="G19" s="5" t="str">
        <x:f>IF(COUNTIFS('Trial records'!$D$2:$D$59,$A19,'Trial records'!$E$2:$E$59,"Y",'Trial records'!$F$2:$F$59,G$5)&gt;0,"Y","N")</x:f>
        <x:v>N</x:v>
      </x:c>
      <x:c r="H19" s="5" t="str">
        <x:f>IF(COUNTIFS('Trial records'!$D$2:$D$59,$A19,'Trial records'!$E$2:$E$59,"Y",'Trial records'!$F$2:$F$59,H$5)&gt;0,"Y","N")</x:f>
        <x:v>Y</x:v>
      </x:c>
      <x:c r="I19" s="5" t="str">
        <x:f>IF(COUNTIFS('Trial records'!$D$2:$D$59,$A19,'Trial records'!$E$2:$E$59,"Y",'Trial records'!$F$2:$F$59,I$5)&gt;0,"Y","N")</x:f>
        <x:v>N</x:v>
      </x:c>
      <x:c r="J19" s="5" t="str">
        <x:f>IF(COUNTIFS('Trial records'!$D$2:$D$59,$A19,'Trial records'!$E$2:$E$59,"Y",'Trial records'!$F$2:$F$59,J$5)&gt;0,"Y","N")</x:f>
        <x:v>N</x:v>
      </x:c>
      <x:c r="K19" s="5" t="str">
        <x:f>IF(COUNTIFS('Trial records'!$D$2:$D$59,$A19,'Trial records'!$E$2:$E$59,"Y")&gt;0,"Y","N")</x:f>
        <x:v>Y</x:v>
      </x:c>
      <x:c r="L19" s="3" t="s">
        <x:v>15</x:v>
      </x:c>
    </x:row>
    <x:row r="20" ht="25" customHeight="1">
      <x:c r="A20" s="3" t="s">
        <x:v>30</x:v>
      </x:c>
      <x:c r="B20" s="4">
        <x:v>46139.5</x:v>
      </x:c>
      <x:c r="C20" s="5" t="str">
        <x:f>IF(COUNTIFS('Trial records'!$D$2:$D$59,$A20,'Trial records'!$E$2:$E$59,"Y",'Trial records'!$F$2:$F$59,C$5)&gt;0,"Y","N")</x:f>
        <x:v>N</x:v>
      </x:c>
      <x:c r="D20" s="5" t="str">
        <x:f>IF(COUNTIFS('Trial records'!$D$2:$D$59,$A20,'Trial records'!$E$2:$E$59,"Y",'Trial records'!$F$2:$F$59,D$5)&gt;0,"Y","N")</x:f>
        <x:v>N</x:v>
      </x:c>
      <x:c r="E20" s="5" t="str">
        <x:f>IF(COUNTIFS('Trial records'!$D$2:$D$59,$A20,'Trial records'!$E$2:$E$59,"Y",'Trial records'!$F$2:$F$59,E$5)&gt;0,"Y","N")</x:f>
        <x:v>N</x:v>
      </x:c>
      <x:c r="F20" s="5" t="str">
        <x:f>IF(COUNTIFS('Trial records'!$D$2:$D$59,$A20,'Trial records'!$E$2:$E$59,"Y",'Trial records'!$F$2:$F$59,F$5)&gt;0,"Y","N")</x:f>
        <x:v>N</x:v>
      </x:c>
      <x:c r="G20" s="5" t="str">
        <x:f>IF(COUNTIFS('Trial records'!$D$2:$D$59,$A20,'Trial records'!$E$2:$E$59,"Y",'Trial records'!$F$2:$F$59,G$5)&gt;0,"Y","N")</x:f>
        <x:v>N</x:v>
      </x:c>
      <x:c r="H20" s="5" t="str">
        <x:f>IF(COUNTIFS('Trial records'!$D$2:$D$59,$A20,'Trial records'!$E$2:$E$59,"Y",'Trial records'!$F$2:$F$59,H$5)&gt;0,"Y","N")</x:f>
        <x:v>Y</x:v>
      </x:c>
      <x:c r="I20" s="5" t="str">
        <x:f>IF(COUNTIFS('Trial records'!$D$2:$D$59,$A20,'Trial records'!$E$2:$E$59,"Y",'Trial records'!$F$2:$F$59,I$5)&gt;0,"Y","N")</x:f>
        <x:v>N</x:v>
      </x:c>
      <x:c r="J20" s="5" t="str">
        <x:f>IF(COUNTIFS('Trial records'!$D$2:$D$59,$A20,'Trial records'!$E$2:$E$59,"Y",'Trial records'!$F$2:$F$59,J$5)&gt;0,"Y","N")</x:f>
        <x:v>N</x:v>
      </x:c>
      <x:c r="K20" s="5" t="str">
        <x:f>IF(COUNTIFS('Trial records'!$D$2:$D$59,$A20,'Trial records'!$E$2:$E$59,"Y")&gt;0,"Y","N")</x:f>
        <x:v>Y</x:v>
      </x:c>
      <x:c r="L20" s="3" t="s">
        <x:v>15</x:v>
      </x:c>
    </x:row>
    <x:row r="21" ht="25" customHeight="1">
      <x:c r="A21" s="3" t="s">
        <x:v>31</x:v>
      </x:c>
      <x:c r="B21" s="4">
        <x:v>46314.5</x:v>
      </x:c>
      <x:c r="C21" s="5" t="str">
        <x:f>IF(COUNTIFS('Trial records'!$D$2:$D$59,$A21,'Trial records'!$E$2:$E$59,"Y",'Trial records'!$F$2:$F$59,C$5)&gt;0,"Y","N")</x:f>
        <x:v>N</x:v>
      </x:c>
      <x:c r="D21" s="5" t="str">
        <x:f>IF(COUNTIFS('Trial records'!$D$2:$D$59,$A21,'Trial records'!$E$2:$E$59,"Y",'Trial records'!$F$2:$F$59,D$5)&gt;0,"Y","N")</x:f>
        <x:v>N</x:v>
      </x:c>
      <x:c r="E21" s="5" t="str">
        <x:f>IF(COUNTIFS('Trial records'!$D$2:$D$59,$A21,'Trial records'!$E$2:$E$59,"Y",'Trial records'!$F$2:$F$59,E$5)&gt;0,"Y","N")</x:f>
        <x:v>Y</x:v>
      </x:c>
      <x:c r="F21" s="5" t="str">
        <x:f>IF(COUNTIFS('Trial records'!$D$2:$D$59,$A21,'Trial records'!$E$2:$E$59,"Y",'Trial records'!$F$2:$F$59,F$5)&gt;0,"Y","N")</x:f>
        <x:v>N</x:v>
      </x:c>
      <x:c r="G21" s="5" t="str">
        <x:f>IF(COUNTIFS('Trial records'!$D$2:$D$59,$A21,'Trial records'!$E$2:$E$59,"Y",'Trial records'!$F$2:$F$59,G$5)&gt;0,"Y","N")</x:f>
        <x:v>N</x:v>
      </x:c>
      <x:c r="H21" s="5" t="str">
        <x:f>IF(COUNTIFS('Trial records'!$D$2:$D$59,$A21,'Trial records'!$E$2:$E$59,"Y",'Trial records'!$F$2:$F$59,H$5)&gt;0,"Y","N")</x:f>
        <x:v>Y</x:v>
      </x:c>
      <x:c r="I21" s="5" t="str">
        <x:f>IF(COUNTIFS('Trial records'!$D$2:$D$59,$A21,'Trial records'!$E$2:$E$59,"Y",'Trial records'!$F$2:$F$59,I$5)&gt;0,"Y","N")</x:f>
        <x:v>N</x:v>
      </x:c>
      <x:c r="J21" s="5" t="str">
        <x:f>IF(COUNTIFS('Trial records'!$D$2:$D$59,$A21,'Trial records'!$E$2:$E$59,"Y",'Trial records'!$F$2:$F$59,J$5)&gt;0,"Y","N")</x:f>
        <x:v>Y</x:v>
      </x:c>
      <x:c r="K21" s="5" t="str">
        <x:f>IF(COUNTIFS('Trial records'!$D$2:$D$59,$A21,'Trial records'!$E$2:$E$59,"Y")&gt;0,"Y","N")</x:f>
        <x:v>Y</x:v>
      </x:c>
      <x:c r="L21" s="3" t="s">
        <x:v>32</x:v>
      </x:c>
    </x:row>
    <x:row r="22" ht="25" customHeight="1">
      <x:c r="A22" s="3" t="s">
        <x:v>33</x:v>
      </x:c>
      <x:c r="B22" s="4">
        <x:v>46315.5</x:v>
      </x:c>
      <x:c r="C22" s="5" t="str">
        <x:f>IF(COUNTIFS('Trial records'!$D$2:$D$59,$A22,'Trial records'!$E$2:$E$59,"Y",'Trial records'!$F$2:$F$59,C$5)&gt;0,"Y","N")</x:f>
        <x:v>Y</x:v>
      </x:c>
      <x:c r="D22" s="5" t="str">
        <x:f>IF(COUNTIFS('Trial records'!$D$2:$D$59,$A22,'Trial records'!$E$2:$E$59,"Y",'Trial records'!$F$2:$F$59,D$5)&gt;0,"Y","N")</x:f>
        <x:v>N</x:v>
      </x:c>
      <x:c r="E22" s="5" t="str">
        <x:f>IF(COUNTIFS('Trial records'!$D$2:$D$59,$A22,'Trial records'!$E$2:$E$59,"Y",'Trial records'!$F$2:$F$59,E$5)&gt;0,"Y","N")</x:f>
        <x:v>Y</x:v>
      </x:c>
      <x:c r="F22" s="5" t="str">
        <x:f>IF(COUNTIFS('Trial records'!$D$2:$D$59,$A22,'Trial records'!$E$2:$E$59,"Y",'Trial records'!$F$2:$F$59,F$5)&gt;0,"Y","N")</x:f>
        <x:v>N</x:v>
      </x:c>
      <x:c r="G22" s="5" t="str">
        <x:f>IF(COUNTIFS('Trial records'!$D$2:$D$59,$A22,'Trial records'!$E$2:$E$59,"Y",'Trial records'!$F$2:$F$59,G$5)&gt;0,"Y","N")</x:f>
        <x:v>N</x:v>
      </x:c>
      <x:c r="H22" s="5" t="str">
        <x:f>IF(COUNTIFS('Trial records'!$D$2:$D$59,$A22,'Trial records'!$E$2:$E$59,"Y",'Trial records'!$F$2:$F$59,H$5)&gt;0,"Y","N")</x:f>
        <x:v>Y</x:v>
      </x:c>
      <x:c r="I22" s="5" t="str">
        <x:f>IF(COUNTIFS('Trial records'!$D$2:$D$59,$A22,'Trial records'!$E$2:$E$59,"Y",'Trial records'!$F$2:$F$59,I$5)&gt;0,"Y","N")</x:f>
        <x:v>N</x:v>
      </x:c>
      <x:c r="J22" s="5" t="str">
        <x:f>IF(COUNTIFS('Trial records'!$D$2:$D$59,$A22,'Trial records'!$E$2:$E$59,"Y",'Trial records'!$F$2:$F$59,J$5)&gt;0,"Y","N")</x:f>
        <x:v>Y</x:v>
      </x:c>
      <x:c r="K22" s="5" t="str">
        <x:f>IF(COUNTIFS('Trial records'!$D$2:$D$59,$A22,'Trial records'!$E$2:$E$59,"Y")&gt;0,"Y","N")</x:f>
        <x:v>Y</x:v>
      </x:c>
      <x:c r="L22" s="3" t="s">
        <x:v>32</x:v>
      </x:c>
    </x:row>
    <x:row r="23" ht="25" customHeight="1">
      <x:c r="A23" s="3" t="s">
        <x:v>34</x:v>
      </x:c>
      <x:c r="B23" s="4">
        <x:v>46315.5</x:v>
      </x:c>
      <x:c r="C23" s="5" t="str">
        <x:f>IF(COUNTIFS('Trial records'!$D$2:$D$59,$A23,'Trial records'!$E$2:$E$59,"Y",'Trial records'!$F$2:$F$59,C$5)&gt;0,"Y","N")</x:f>
        <x:v>Y</x:v>
      </x:c>
      <x:c r="D23" s="5" t="str">
        <x:f>IF(COUNTIFS('Trial records'!$D$2:$D$59,$A23,'Trial records'!$E$2:$E$59,"Y",'Trial records'!$F$2:$F$59,D$5)&gt;0,"Y","N")</x:f>
        <x:v>N</x:v>
      </x:c>
      <x:c r="E23" s="5" t="str">
        <x:f>IF(COUNTIFS('Trial records'!$D$2:$D$59,$A23,'Trial records'!$E$2:$E$59,"Y",'Trial records'!$F$2:$F$59,E$5)&gt;0,"Y","N")</x:f>
        <x:v>N</x:v>
      </x:c>
      <x:c r="F23" s="5" t="str">
        <x:f>IF(COUNTIFS('Trial records'!$D$2:$D$59,$A23,'Trial records'!$E$2:$E$59,"Y",'Trial records'!$F$2:$F$59,F$5)&gt;0,"Y","N")</x:f>
        <x:v>N</x:v>
      </x:c>
      <x:c r="G23" s="5" t="str">
        <x:f>IF(COUNTIFS('Trial records'!$D$2:$D$59,$A23,'Trial records'!$E$2:$E$59,"Y",'Trial records'!$F$2:$F$59,G$5)&gt;0,"Y","N")</x:f>
        <x:v>N</x:v>
      </x:c>
      <x:c r="H23" s="5" t="str">
        <x:f>IF(COUNTIFS('Trial records'!$D$2:$D$59,$A23,'Trial records'!$E$2:$E$59,"Y",'Trial records'!$F$2:$F$59,H$5)&gt;0,"Y","N")</x:f>
        <x:v>Y</x:v>
      </x:c>
      <x:c r="I23" s="5" t="str">
        <x:f>IF(COUNTIFS('Trial records'!$D$2:$D$59,$A23,'Trial records'!$E$2:$E$59,"Y",'Trial records'!$F$2:$F$59,I$5)&gt;0,"Y","N")</x:f>
        <x:v>N</x:v>
      </x:c>
      <x:c r="J23" s="5" t="str">
        <x:f>IF(COUNTIFS('Trial records'!$D$2:$D$59,$A23,'Trial records'!$E$2:$E$59,"Y",'Trial records'!$F$2:$F$59,J$5)&gt;0,"Y","N")</x:f>
        <x:v>Y</x:v>
      </x:c>
      <x:c r="K23" s="5" t="str">
        <x:f>IF(COUNTIFS('Trial records'!$D$2:$D$59,$A23,'Trial records'!$E$2:$E$59,"Y")&gt;0,"Y","N")</x:f>
        <x:v>Y</x:v>
      </x:c>
      <x:c r="L23" s="3" t="s">
        <x:v>32</x:v>
      </x:c>
    </x:row>
    <x:row r="24" ht="25" customHeight="1">
      <x:c r="A24" s="3" t="s">
        <x:v>35</x:v>
      </x:c>
      <x:c r="B24" s="4">
        <x:v>46319.5</x:v>
      </x:c>
      <x:c r="C24" s="5" t="str">
        <x:f>IF(COUNTIFS('Trial records'!$D$2:$D$59,$A24,'Trial records'!$E$2:$E$59,"Y",'Trial records'!$F$2:$F$59,C$5)&gt;0,"Y","N")</x:f>
        <x:v>N</x:v>
      </x:c>
      <x:c r="D24" s="5" t="str">
        <x:f>IF(COUNTIFS('Trial records'!$D$2:$D$59,$A24,'Trial records'!$E$2:$E$59,"Y",'Trial records'!$F$2:$F$59,D$5)&gt;0,"Y","N")</x:f>
        <x:v>N</x:v>
      </x:c>
      <x:c r="E24" s="5" t="str">
        <x:f>IF(COUNTIFS('Trial records'!$D$2:$D$59,$A24,'Trial records'!$E$2:$E$59,"Y",'Trial records'!$F$2:$F$59,E$5)&gt;0,"Y","N")</x:f>
        <x:v>Y</x:v>
      </x:c>
      <x:c r="F24" s="5" t="str">
        <x:f>IF(COUNTIFS('Trial records'!$D$2:$D$59,$A24,'Trial records'!$E$2:$E$59,"Y",'Trial records'!$F$2:$F$59,F$5)&gt;0,"Y","N")</x:f>
        <x:v>N</x:v>
      </x:c>
      <x:c r="G24" s="5" t="str">
        <x:f>IF(COUNTIFS('Trial records'!$D$2:$D$59,$A24,'Trial records'!$E$2:$E$59,"Y",'Trial records'!$F$2:$F$59,G$5)&gt;0,"Y","N")</x:f>
        <x:v>N</x:v>
      </x:c>
      <x:c r="H24" s="5" t="str">
        <x:f>IF(COUNTIFS('Trial records'!$D$2:$D$59,$A24,'Trial records'!$E$2:$E$59,"Y",'Trial records'!$F$2:$F$59,H$5)&gt;0,"Y","N")</x:f>
        <x:v>Y</x:v>
      </x:c>
      <x:c r="I24" s="5" t="str">
        <x:f>IF(COUNTIFS('Trial records'!$D$2:$D$59,$A24,'Trial records'!$E$2:$E$59,"Y",'Trial records'!$F$2:$F$59,I$5)&gt;0,"Y","N")</x:f>
        <x:v>Y</x:v>
      </x:c>
      <x:c r="J24" s="5" t="str">
        <x:f>IF(COUNTIFS('Trial records'!$D$2:$D$59,$A24,'Trial records'!$E$2:$E$59,"Y",'Trial records'!$F$2:$F$59,J$5)&gt;0,"Y","N")</x:f>
        <x:v>Y</x:v>
      </x:c>
      <x:c r="K24" s="5" t="str">
        <x:f>IF(COUNTIFS('Trial records'!$D$2:$D$59,$A24,'Trial records'!$E$2:$E$59,"Y")&gt;0,"Y","N")</x:f>
        <x:v>Y</x:v>
      </x:c>
      <x:c r="L24" s="3" t="s">
        <x:v>32</x:v>
      </x:c>
    </x:row>
    <x:row r="27">
      <x:c r="A27" s="13" t="s">
        <x:v>36</x:v>
      </x:c>
    </x:row>
    <x:row r="28">
      <x:c r="A28" s="13" t="s">
        <x:v>37</x:v>
      </x:c>
    </x:row>
    <x:row r="29">
      <x:c r="A29" s="13" t="s">
        <x:v>38</x:v>
      </x:c>
    </x:row>
    <x:row r="30">
      <x:c r="A30" s="13" t="s">
        <x:v>39</x:v>
      </x:c>
    </x:row>
    <x:row r="31">
      <x:c r="A31" s="13" t="s">
        <x:v>40</x:v>
      </x:c>
    </x:row>
    <x:row r="32">
      <x:c r="A32" s="13" t="s">
        <x:v>41</x:v>
      </x:c>
    </x:row>
  </x:sheetData>
  <x:conditionalFormatting sqref="C6:K24">
    <x:cfRule type="cellIs" dxfId="4" priority="1" operator="equal">
      <x:formula>"Y"</x:formula>
    </x:cfRule>
  </x:conditionalFormatting>
  <x:conditionalFormatting sqref="K6:K24">
    <x:cfRule type="cellIs" dxfId="3" priority="2" operator="equal">
      <x:formula>"N"</x:formula>
    </x:cfRule>
  </x:conditionalFormatting>
  <x:conditionalFormatting sqref="L6:L24">
    <x:cfRule type="cellIs" dxfId="2" priority="3" operator="equal">
      <x:formula>"Inferred"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8b5cfac27ec45e0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baseColWidth="10" defaultColWidth="8.83203125" defaultRowHeight="14"/>
  <x:cols>
    <x:col min="1" max="1" width="47" customWidth="1"/>
    <x:col min="2" max="2" width="12" customWidth="1"/>
    <x:col min="3" max="3" width="13" customWidth="1"/>
    <x:col min="4" max="4" width="31" customWidth="1"/>
    <x:col min="5" max="5" width="15" customWidth="1"/>
    <x:col min="6" max="6" width="18" customWidth="1"/>
    <x:col min="7" max="7" width="52" customWidth="1"/>
    <x:col min="8" max="8" width="58" customWidth="1"/>
    <x:col min="9" max="10" width="64" customWidth="1"/>
  </x:cols>
  <x:sheetData>
    <x:row r="1" ht="30" customHeight="1">
      <x:c r="A1" s="10" t="s">
        <x:v>42</x:v>
      </x:c>
      <x:c r="B1" s="11" t="s">
        <x:v>43</x:v>
      </x:c>
      <x:c r="C1" s="11" t="s">
        <x:v>3</x:v>
      </x:c>
      <x:c r="D1" s="11" t="s">
        <x:v>2</x:v>
      </x:c>
      <x:c r="E1" s="11" t="s">
        <x:v>12</x:v>
      </x:c>
      <x:c r="F1" s="11" t="s">
        <x:v>44</x:v>
      </x:c>
      <x:c r="G1" s="11" t="s">
        <x:v>45</x:v>
      </x:c>
      <x:c r="H1" s="11" t="s">
        <x:v>46</x:v>
      </x:c>
      <x:c r="I1" s="11" t="s">
        <x:v>47</x:v>
      </x:c>
      <x:c r="J1" s="12" t="s">
        <x:v>48</x:v>
      </x:c>
    </x:row>
    <x:row r="2" ht="70" customHeight="1">
      <x:c r="A2" s="9" t="s">
        <x:v>49</x:v>
      </x:c>
      <x:c r="B2" s="3" t="s">
        <x:v>50</x:v>
      </x:c>
      <x:c r="C2" s="4">
        <x:v>46223.5</x:v>
      </x:c>
      <x:c r="D2" s="3" t="s">
        <x:v>14</x:v>
      </x:c>
      <x:c r="E2" s="3" t="s">
        <x:v>51</x:v>
      </x:c>
      <x:c r="F2" s="3" t="s">
        <x:v>4</x:v>
      </x:c>
      <x:c r="G2" s="9" t="s">
        <x:v>52</x:v>
      </x:c>
      <x:c r="H2" s="9" t="s">
        <x:v>53</x:v>
      </x:c>
      <x:c r="I2" s="9" t="s">
        <x:v>54</x:v>
      </x:c>
      <x:c r="J2" s="9" t="s">
        <x:v>55</x:v>
      </x:c>
    </x:row>
    <x:row r="3" ht="70" customHeight="1">
      <x:c r="A3" s="9" t="s">
        <x:v>56</x:v>
      </x:c>
      <x:c r="B3" s="3" t="s">
        <x:v>50</x:v>
      </x:c>
      <x:c r="C3" s="4">
        <x:v>46223.5</x:v>
      </x:c>
      <x:c r="D3" s="3" t="s">
        <x:v>14</x:v>
      </x:c>
      <x:c r="E3" s="3" t="s">
        <x:v>51</x:v>
      </x:c>
      <x:c r="F3" s="3" t="s">
        <x:v>4</x:v>
      </x:c>
      <x:c r="G3" s="9" t="s">
        <x:v>52</x:v>
      </x:c>
      <x:c r="H3" s="9" t="s">
        <x:v>53</x:v>
      </x:c>
      <x:c r="I3" s="9" t="s">
        <x:v>54</x:v>
      </x:c>
      <x:c r="J3" s="9" t="s">
        <x:v>57</x:v>
      </x:c>
    </x:row>
    <x:row r="4" ht="70" customHeight="1">
      <x:c r="A4" s="9" t="s">
        <x:v>58</x:v>
      </x:c>
      <x:c r="B4" s="3" t="s">
        <x:v>50</x:v>
      </x:c>
      <x:c r="C4" s="4">
        <x:v>46224.5</x:v>
      </x:c>
      <x:c r="D4" s="3" t="s">
        <x:v>16</x:v>
      </x:c>
      <x:c r="E4" s="3" t="s">
        <x:v>51</x:v>
      </x:c>
      <x:c r="F4" s="3" t="s">
        <x:v>5</x:v>
      </x:c>
      <x:c r="G4" s="9" t="s">
        <x:v>52</x:v>
      </x:c>
      <x:c r="H4" s="9" t="s">
        <x:v>53</x:v>
      </x:c>
      <x:c r="I4" s="9" t="s">
        <x:v>54</x:v>
      </x:c>
      <x:c r="J4" s="9" t="s">
        <x:v>59</x:v>
      </x:c>
    </x:row>
    <x:row r="5" ht="70" customHeight="1">
      <x:c r="A5" s="9" t="s">
        <x:v>60</x:v>
      </x:c>
      <x:c r="B5" s="3" t="s">
        <x:v>50</x:v>
      </x:c>
      <x:c r="C5" s="4">
        <x:v>46224.5</x:v>
      </x:c>
      <x:c r="D5" s="3" t="s">
        <x:v>16</x:v>
      </x:c>
      <x:c r="E5" s="3" t="s">
        <x:v>51</x:v>
      </x:c>
      <x:c r="F5" s="3" t="s">
        <x:v>5</x:v>
      </x:c>
      <x:c r="G5" s="9" t="s">
        <x:v>52</x:v>
      </x:c>
      <x:c r="H5" s="9" t="s">
        <x:v>53</x:v>
      </x:c>
      <x:c r="I5" s="9" t="s">
        <x:v>54</x:v>
      </x:c>
      <x:c r="J5" s="9" t="s">
        <x:v>61</x:v>
      </x:c>
    </x:row>
    <x:row r="6" ht="70" customHeight="1">
      <x:c r="A6" s="9" t="s">
        <x:v>62</x:v>
      </x:c>
      <x:c r="B6" s="3" t="s">
        <x:v>50</x:v>
      </x:c>
      <x:c r="C6" s="4">
        <x:v>46224.5</x:v>
      </x:c>
      <x:c r="D6" s="3" t="s">
        <x:v>16</x:v>
      </x:c>
      <x:c r="E6" s="3" t="s">
        <x:v>51</x:v>
      </x:c>
      <x:c r="F6" s="3" t="s">
        <x:v>8</x:v>
      </x:c>
      <x:c r="G6" s="9" t="s">
        <x:v>52</x:v>
      </x:c>
      <x:c r="H6" s="9" t="s">
        <x:v>53</x:v>
      </x:c>
      <x:c r="I6" s="9" t="s">
        <x:v>54</x:v>
      </x:c>
      <x:c r="J6" s="9" t="s">
        <x:v>63</x:v>
      </x:c>
    </x:row>
    <x:row r="7" ht="70" customHeight="1">
      <x:c r="A7" s="9" t="s">
        <x:v>64</x:v>
      </x:c>
      <x:c r="B7" s="3" t="s">
        <x:v>50</x:v>
      </x:c>
      <x:c r="C7" s="4">
        <x:v>46225.5</x:v>
      </x:c>
      <x:c r="D7" s="3" t="s">
        <x:v>17</x:v>
      </x:c>
      <x:c r="E7" s="3" t="s">
        <x:v>51</x:v>
      </x:c>
      <x:c r="F7" s="3" t="s">
        <x:v>5</x:v>
      </x:c>
      <x:c r="G7" s="9" t="s">
        <x:v>52</x:v>
      </x:c>
      <x:c r="H7" s="9" t="s">
        <x:v>53</x:v>
      </x:c>
      <x:c r="I7" s="9" t="s">
        <x:v>54</x:v>
      </x:c>
      <x:c r="J7" s="9" t="s">
        <x:v>65</x:v>
      </x:c>
    </x:row>
    <x:row r="8" ht="70" customHeight="1">
      <x:c r="A8" s="9" t="s">
        <x:v>66</x:v>
      </x:c>
      <x:c r="B8" s="3" t="s">
        <x:v>50</x:v>
      </x:c>
      <x:c r="C8" s="4">
        <x:v>46321.5</x:v>
      </x:c>
      <x:c r="D8" s="3"/>
      <x:c r="E8" s="3" t="s">
        <x:v>67</x:v>
      </x:c>
      <x:c r="F8" s="3" t="s">
        <x:v>6</x:v>
      </x:c>
      <x:c r="G8" s="9" t="s">
        <x:v>68</x:v>
      </x:c>
      <x:c r="H8" s="9" t="s">
        <x:v>69</x:v>
      </x:c>
      <x:c r="I8" s="9" t="s">
        <x:v>70</x:v>
      </x:c>
      <x:c r="J8" s="9" t="s">
        <x:v>71</x:v>
      </x:c>
    </x:row>
    <x:row r="9" ht="70" customHeight="1">
      <x:c r="A9" s="9" t="s">
        <x:v>72</x:v>
      </x:c>
      <x:c r="B9" s="3" t="s">
        <x:v>50</x:v>
      </x:c>
      <x:c r="C9" s="4">
        <x:v>46321.5</x:v>
      </x:c>
      <x:c r="D9" s="3" t="s">
        <x:v>73</x:v>
      </x:c>
      <x:c r="E9" s="3" t="s">
        <x:v>67</x:v>
      </x:c>
      <x:c r="F9" s="3" t="s">
        <x:v>10</x:v>
      </x:c>
      <x:c r="G9" s="9" t="s">
        <x:v>68</x:v>
      </x:c>
      <x:c r="H9" s="9" t="s">
        <x:v>74</x:v>
      </x:c>
      <x:c r="I9" s="9" t="s">
        <x:v>70</x:v>
      </x:c>
      <x:c r="J9" s="9" t="s">
        <x:v>75</x:v>
      </x:c>
    </x:row>
    <x:row r="10" ht="70" customHeight="1">
      <x:c r="A10" s="9" t="s">
        <x:v>76</x:v>
      </x:c>
      <x:c r="B10" s="3" t="s">
        <x:v>50</x:v>
      </x:c>
      <x:c r="C10" s="4">
        <x:v>46321.5</x:v>
      </x:c>
      <x:c r="D10" s="3"/>
      <x:c r="E10" s="3" t="s">
        <x:v>67</x:v>
      </x:c>
      <x:c r="F10" s="3" t="s">
        <x:v>11</x:v>
      </x:c>
      <x:c r="G10" s="9" t="s">
        <x:v>68</x:v>
      </x:c>
      <x:c r="H10" s="9" t="s">
        <x:v>69</x:v>
      </x:c>
      <x:c r="I10" s="9" t="s">
        <x:v>70</x:v>
      </x:c>
      <x:c r="J10" s="9" t="s">
        <x:v>77</x:v>
      </x:c>
    </x:row>
    <x:row r="11" ht="70" customHeight="1">
      <x:c r="A11" s="9" t="s">
        <x:v>78</x:v>
      </x:c>
      <x:c r="B11" s="3" t="s">
        <x:v>50</x:v>
      </x:c>
      <x:c r="C11" s="4">
        <x:v>46321.5</x:v>
      </x:c>
      <x:c r="D11" s="3"/>
      <x:c r="E11" s="3" t="s">
        <x:v>67</x:v>
      </x:c>
      <x:c r="F11" s="3" t="s">
        <x:v>11</x:v>
      </x:c>
      <x:c r="G11" s="9" t="s">
        <x:v>68</x:v>
      </x:c>
      <x:c r="H11" s="9" t="s">
        <x:v>69</x:v>
      </x:c>
      <x:c r="I11" s="9" t="s">
        <x:v>70</x:v>
      </x:c>
      <x:c r="J11" s="9" t="s">
        <x:v>79</x:v>
      </x:c>
    </x:row>
    <x:row r="12" ht="70" customHeight="1">
      <x:c r="A12" s="9" t="s">
        <x:v>80</x:v>
      </x:c>
      <x:c r="B12" s="3" t="s">
        <x:v>50</x:v>
      </x:c>
      <x:c r="C12" s="4">
        <x:v>46321.5</x:v>
      </x:c>
      <x:c r="D12" s="3"/>
      <x:c r="E12" s="3" t="s">
        <x:v>67</x:v>
      </x:c>
      <x:c r="F12" s="3" t="s">
        <x:v>10</x:v>
      </x:c>
      <x:c r="G12" s="9" t="s">
        <x:v>68</x:v>
      </x:c>
      <x:c r="H12" s="9" t="s">
        <x:v>69</x:v>
      </x:c>
      <x:c r="I12" s="9" t="s">
        <x:v>70</x:v>
      </x:c>
      <x:c r="J12" s="9" t="s">
        <x:v>81</x:v>
      </x:c>
    </x:row>
    <x:row r="13" ht="70" customHeight="1">
      <x:c r="A13" s="9" t="s">
        <x:v>82</x:v>
      </x:c>
      <x:c r="B13" s="3" t="s">
        <x:v>83</x:v>
      </x:c>
      <x:c r="C13" s="4">
        <x:v>45881.5</x:v>
      </x:c>
      <x:c r="D13" s="3" t="s">
        <x:v>18</x:v>
      </x:c>
      <x:c r="E13" s="3" t="s">
        <x:v>51</x:v>
      </x:c>
      <x:c r="F13" s="3" t="s">
        <x:v>6</x:v>
      </x:c>
      <x:c r="G13" s="9" t="s">
        <x:v>84</x:v>
      </x:c>
      <x:c r="H13" s="9" t="s">
        <x:v>53</x:v>
      </x:c>
      <x:c r="I13" s="9" t="s">
        <x:v>85</x:v>
      </x:c>
      <x:c r="J13" s="9" t="s">
        <x:v>86</x:v>
      </x:c>
    </x:row>
    <x:row r="14" ht="70" customHeight="1">
      <x:c r="A14" s="9" t="s">
        <x:v>87</x:v>
      </x:c>
      <x:c r="B14" s="3" t="s">
        <x:v>83</x:v>
      </x:c>
      <x:c r="C14" s="4">
        <x:v>45881.5</x:v>
      </x:c>
      <x:c r="D14" s="3" t="s">
        <x:v>18</x:v>
      </x:c>
      <x:c r="E14" s="3" t="s">
        <x:v>51</x:v>
      </x:c>
      <x:c r="F14" s="3" t="s">
        <x:v>7</x:v>
      </x:c>
      <x:c r="G14" s="9" t="s">
        <x:v>84</x:v>
      </x:c>
      <x:c r="H14" s="9" t="s">
        <x:v>53</x:v>
      </x:c>
      <x:c r="I14" s="9" t="s">
        <x:v>85</x:v>
      </x:c>
      <x:c r="J14" s="9" t="s">
        <x:v>88</x:v>
      </x:c>
    </x:row>
    <x:row r="15" ht="70" customHeight="1">
      <x:c r="A15" s="9" t="s">
        <x:v>89</x:v>
      </x:c>
      <x:c r="B15" s="3" t="s">
        <x:v>83</x:v>
      </x:c>
      <x:c r="C15" s="4">
        <x:v>45881.5</x:v>
      </x:c>
      <x:c r="D15" s="3" t="s">
        <x:v>18</x:v>
      </x:c>
      <x:c r="E15" s="3" t="s">
        <x:v>51</x:v>
      </x:c>
      <x:c r="F15" s="3" t="s">
        <x:v>6</x:v>
      </x:c>
      <x:c r="G15" s="9" t="s">
        <x:v>84</x:v>
      </x:c>
      <x:c r="H15" s="9" t="s">
        <x:v>53</x:v>
      </x:c>
      <x:c r="I15" s="9" t="s">
        <x:v>85</x:v>
      </x:c>
      <x:c r="J15" s="9" t="s">
        <x:v>90</x:v>
      </x:c>
    </x:row>
    <x:row r="16" ht="70" customHeight="1">
      <x:c r="A16" s="9" t="s">
        <x:v>91</x:v>
      </x:c>
      <x:c r="B16" s="3" t="s">
        <x:v>83</x:v>
      </x:c>
      <x:c r="C16" s="4">
        <x:v>45882.5</x:v>
      </x:c>
      <x:c r="D16" s="3" t="s">
        <x:v>19</x:v>
      </x:c>
      <x:c r="E16" s="3" t="s">
        <x:v>51</x:v>
      </x:c>
      <x:c r="F16" s="3" t="s">
        <x:v>7</x:v>
      </x:c>
      <x:c r="G16" s="9" t="s">
        <x:v>84</x:v>
      </x:c>
      <x:c r="H16" s="9" t="s">
        <x:v>53</x:v>
      </x:c>
      <x:c r="I16" s="9" t="s">
        <x:v>85</x:v>
      </x:c>
      <x:c r="J16" s="9" t="s">
        <x:v>92</x:v>
      </x:c>
    </x:row>
    <x:row r="17" ht="70" customHeight="1">
      <x:c r="A17" s="9" t="s">
        <x:v>93</x:v>
      </x:c>
      <x:c r="B17" s="3" t="s">
        <x:v>83</x:v>
      </x:c>
      <x:c r="C17" s="4">
        <x:v>45888.5</x:v>
      </x:c>
      <x:c r="D17" s="3" t="s">
        <x:v>20</x:v>
      </x:c>
      <x:c r="E17" s="3" t="s">
        <x:v>51</x:v>
      </x:c>
      <x:c r="F17" s="3" t="s">
        <x:v>7</x:v>
      </x:c>
      <x:c r="G17" s="9" t="s">
        <x:v>84</x:v>
      </x:c>
      <x:c r="H17" s="9" t="s">
        <x:v>53</x:v>
      </x:c>
      <x:c r="I17" s="9" t="s">
        <x:v>85</x:v>
      </x:c>
      <x:c r="J17" s="9" t="s">
        <x:v>94</x:v>
      </x:c>
    </x:row>
    <x:row r="18" ht="70" customHeight="1">
      <x:c r="A18" s="9" t="s">
        <x:v>95</x:v>
      </x:c>
      <x:c r="B18" s="3" t="s">
        <x:v>83</x:v>
      </x:c>
      <x:c r="C18" s="4">
        <x:v>45931.5</x:v>
      </x:c>
      <x:c r="D18" s="3" t="s">
        <x:v>21</x:v>
      </x:c>
      <x:c r="E18" s="3" t="s">
        <x:v>96</x:v>
      </x:c>
      <x:c r="F18" s="3" t="s">
        <x:v>5</x:v>
      </x:c>
      <x:c r="G18" s="9" t="s">
        <x:v>97</x:v>
      </x:c>
      <x:c r="H18" s="9" t="s">
        <x:v>53</x:v>
      </x:c>
      <x:c r="I18" s="9" t="s">
        <x:v>85</x:v>
      </x:c>
      <x:c r="J18" s="9" t="s">
        <x:v>98</x:v>
      </x:c>
    </x:row>
    <x:row r="19" ht="70" customHeight="1">
      <x:c r="A19" s="9" t="s">
        <x:v>99</x:v>
      </x:c>
      <x:c r="B19" s="3" t="s">
        <x:v>83</x:v>
      </x:c>
      <x:c r="C19" s="4">
        <x:v>46066.5</x:v>
      </x:c>
      <x:c r="D19" s="3" t="s">
        <x:v>22</x:v>
      </x:c>
      <x:c r="E19" s="3" t="s">
        <x:v>96</x:v>
      </x:c>
      <x:c r="F19" s="3" t="s">
        <x:v>5</x:v>
      </x:c>
      <x:c r="G19" s="9" t="s">
        <x:v>97</x:v>
      </x:c>
      <x:c r="H19" s="9" t="s">
        <x:v>100</x:v>
      </x:c>
      <x:c r="I19" s="9" t="s">
        <x:v>85</x:v>
      </x:c>
      <x:c r="J19" s="9" t="s">
        <x:v>101</x:v>
      </x:c>
    </x:row>
    <x:row r="20" ht="70" customHeight="1">
      <x:c r="A20" s="9" t="s">
        <x:v>102</x:v>
      </x:c>
      <x:c r="B20" s="3" t="s">
        <x:v>83</x:v>
      </x:c>
      <x:c r="C20" s="4">
        <x:v>46066.5</x:v>
      </x:c>
      <x:c r="D20" s="3" t="s">
        <x:v>24</x:v>
      </x:c>
      <x:c r="E20" s="3" t="s">
        <x:v>96</x:v>
      </x:c>
      <x:c r="F20" s="3" t="s">
        <x:v>5</x:v>
      </x:c>
      <x:c r="G20" s="9" t="s">
        <x:v>97</x:v>
      </x:c>
      <x:c r="H20" s="9" t="s">
        <x:v>53</x:v>
      </x:c>
      <x:c r="I20" s="9" t="s">
        <x:v>85</x:v>
      </x:c>
      <x:c r="J20" s="9" t="s">
        <x:v>103</x:v>
      </x:c>
    </x:row>
    <x:row r="21" ht="70" customHeight="1">
      <x:c r="A21" s="9" t="s">
        <x:v>104</x:v>
      </x:c>
      <x:c r="B21" s="3" t="s">
        <x:v>83</x:v>
      </x:c>
      <x:c r="C21" s="4">
        <x:v>46070.5</x:v>
      </x:c>
      <x:c r="D21" s="3" t="s">
        <x:v>25</x:v>
      </x:c>
      <x:c r="E21" s="3" t="s">
        <x:v>51</x:v>
      </x:c>
      <x:c r="F21" s="3" t="s">
        <x:v>5</x:v>
      </x:c>
      <x:c r="G21" s="9" t="s">
        <x:v>84</x:v>
      </x:c>
      <x:c r="H21" s="9" t="s">
        <x:v>100</x:v>
      </x:c>
      <x:c r="I21" s="9" t="s">
        <x:v>85</x:v>
      </x:c>
      <x:c r="J21" s="9" t="s">
        <x:v>105</x:v>
      </x:c>
    </x:row>
    <x:row r="22" ht="70" customHeight="1">
      <x:c r="A22" s="9" t="s">
        <x:v>106</x:v>
      </x:c>
      <x:c r="B22" s="3" t="s">
        <x:v>83</x:v>
      </x:c>
      <x:c r="C22" s="4">
        <x:v>46070.5</x:v>
      </x:c>
      <x:c r="D22" s="3" t="s">
        <x:v>25</x:v>
      </x:c>
      <x:c r="E22" s="3" t="s">
        <x:v>51</x:v>
      </x:c>
      <x:c r="F22" s="3" t="s">
        <x:v>4</x:v>
      </x:c>
      <x:c r="G22" s="9" t="s">
        <x:v>84</x:v>
      </x:c>
      <x:c r="H22" s="9" t="s">
        <x:v>100</x:v>
      </x:c>
      <x:c r="I22" s="9" t="s">
        <x:v>85</x:v>
      </x:c>
      <x:c r="J22" s="9" t="s">
        <x:v>107</x:v>
      </x:c>
    </x:row>
    <x:row r="23" ht="70" customHeight="1">
      <x:c r="A23" s="9" t="s">
        <x:v>108</x:v>
      </x:c>
      <x:c r="B23" s="3" t="s">
        <x:v>83</x:v>
      </x:c>
      <x:c r="C23" s="4">
        <x:v>46070.5</x:v>
      </x:c>
      <x:c r="D23" s="3" t="s">
        <x:v>25</x:v>
      </x:c>
      <x:c r="E23" s="3" t="s">
        <x:v>51</x:v>
      </x:c>
      <x:c r="F23" s="3" t="s">
        <x:v>5</x:v>
      </x:c>
      <x:c r="G23" s="9" t="s">
        <x:v>84</x:v>
      </x:c>
      <x:c r="H23" s="9" t="s">
        <x:v>100</x:v>
      </x:c>
      <x:c r="I23" s="9" t="s">
        <x:v>85</x:v>
      </x:c>
      <x:c r="J23" s="9" t="s">
        <x:v>109</x:v>
      </x:c>
    </x:row>
    <x:row r="24" ht="70" customHeight="1">
      <x:c r="A24" s="9" t="s">
        <x:v>110</x:v>
      </x:c>
      <x:c r="B24" s="3" t="s">
        <x:v>83</x:v>
      </x:c>
      <x:c r="C24" s="4">
        <x:v>46092.5</x:v>
      </x:c>
      <x:c r="D24" s="3" t="s">
        <x:v>26</x:v>
      </x:c>
      <x:c r="E24" s="3" t="s">
        <x:v>51</x:v>
      </x:c>
      <x:c r="F24" s="3" t="s">
        <x:v>5</x:v>
      </x:c>
      <x:c r="G24" s="9" t="s">
        <x:v>84</x:v>
      </x:c>
      <x:c r="H24" s="9" t="s">
        <x:v>111</x:v>
      </x:c>
      <x:c r="I24" s="9" t="s">
        <x:v>85</x:v>
      </x:c>
      <x:c r="J24" s="9" t="s">
        <x:v>112</x:v>
      </x:c>
    </x:row>
    <x:row r="25" ht="70" customHeight="1">
      <x:c r="A25" s="9" t="s">
        <x:v>113</x:v>
      </x:c>
      <x:c r="B25" s="3" t="s">
        <x:v>83</x:v>
      </x:c>
      <x:c r="C25" s="4">
        <x:v>46094.5</x:v>
      </x:c>
      <x:c r="D25" s="3" t="s">
        <x:v>27</x:v>
      </x:c>
      <x:c r="E25" s="3" t="s">
        <x:v>51</x:v>
      </x:c>
      <x:c r="F25" s="3" t="s">
        <x:v>5</x:v>
      </x:c>
      <x:c r="G25" s="9" t="s">
        <x:v>84</x:v>
      </x:c>
      <x:c r="H25" s="9" t="s">
        <x:v>111</x:v>
      </x:c>
      <x:c r="I25" s="9" t="s">
        <x:v>85</x:v>
      </x:c>
      <x:c r="J25" s="9" t="s">
        <x:v>114</x:v>
      </x:c>
    </x:row>
    <x:row r="26" ht="70" customHeight="1">
      <x:c r="A26" s="9" t="s">
        <x:v>115</x:v>
      </x:c>
      <x:c r="B26" s="3" t="s">
        <x:v>83</x:v>
      </x:c>
      <x:c r="C26" s="4">
        <x:v>46094.5</x:v>
      </x:c>
      <x:c r="D26" s="3" t="s">
        <x:v>27</x:v>
      </x:c>
      <x:c r="E26" s="3" t="s">
        <x:v>51</x:v>
      </x:c>
      <x:c r="F26" s="3" t="s">
        <x:v>116</x:v>
      </x:c>
      <x:c r="G26" s="9" t="s">
        <x:v>84</x:v>
      </x:c>
      <x:c r="H26" s="9" t="s">
        <x:v>111</x:v>
      </x:c>
      <x:c r="I26" s="9" t="s">
        <x:v>85</x:v>
      </x:c>
      <x:c r="J26" s="9" t="s">
        <x:v>117</x:v>
      </x:c>
    </x:row>
    <x:row r="27" ht="70" customHeight="1">
      <x:c r="A27" s="9" t="s">
        <x:v>118</x:v>
      </x:c>
      <x:c r="B27" s="3" t="s">
        <x:v>83</x:v>
      </x:c>
      <x:c r="C27" s="4">
        <x:v>46099.5</x:v>
      </x:c>
      <x:c r="D27" s="3" t="s">
        <x:v>28</x:v>
      </x:c>
      <x:c r="E27" s="3" t="s">
        <x:v>51</x:v>
      </x:c>
      <x:c r="F27" s="3" t="s">
        <x:v>116</x:v>
      </x:c>
      <x:c r="G27" s="9" t="s">
        <x:v>84</x:v>
      </x:c>
      <x:c r="H27" s="9" t="s">
        <x:v>111</x:v>
      </x:c>
      <x:c r="I27" s="9" t="s">
        <x:v>85</x:v>
      </x:c>
      <x:c r="J27" s="9" t="s">
        <x:v>119</x:v>
      </x:c>
    </x:row>
    <x:row r="28" ht="70" customHeight="1">
      <x:c r="A28" s="9" t="s">
        <x:v>120</x:v>
      </x:c>
      <x:c r="B28" s="3" t="s">
        <x:v>83</x:v>
      </x:c>
      <x:c r="C28" s="4">
        <x:v>46139.5</x:v>
      </x:c>
      <x:c r="D28" s="3" t="s">
        <x:v>29</x:v>
      </x:c>
      <x:c r="E28" s="3" t="s">
        <x:v>51</x:v>
      </x:c>
      <x:c r="F28" s="3" t="s">
        <x:v>9</x:v>
      </x:c>
      <x:c r="G28" s="9" t="s">
        <x:v>84</x:v>
      </x:c>
      <x:c r="H28" s="9" t="s">
        <x:v>53</x:v>
      </x:c>
      <x:c r="I28" s="9" t="s">
        <x:v>85</x:v>
      </x:c>
      <x:c r="J28" s="9" t="s">
        <x:v>121</x:v>
      </x:c>
    </x:row>
    <x:row r="29" ht="70" customHeight="1">
      <x:c r="A29" s="9" t="s">
        <x:v>122</x:v>
      </x:c>
      <x:c r="B29" s="3" t="s">
        <x:v>83</x:v>
      </x:c>
      <x:c r="C29" s="4">
        <x:v>46139.5</x:v>
      </x:c>
      <x:c r="D29" s="3" t="s">
        <x:v>30</x:v>
      </x:c>
      <x:c r="E29" s="3" t="s">
        <x:v>51</x:v>
      </x:c>
      <x:c r="F29" s="3" t="s">
        <x:v>9</x:v>
      </x:c>
      <x:c r="G29" s="9" t="s">
        <x:v>84</x:v>
      </x:c>
      <x:c r="H29" s="9" t="s">
        <x:v>53</x:v>
      </x:c>
      <x:c r="I29" s="9" t="s">
        <x:v>85</x:v>
      </x:c>
      <x:c r="J29" s="9" t="s">
        <x:v>123</x:v>
      </x:c>
    </x:row>
    <x:row r="30" ht="70" customHeight="1">
      <x:c r="A30" s="9" t="s">
        <x:v>124</x:v>
      </x:c>
      <x:c r="B30" s="3" t="s">
        <x:v>83</x:v>
      </x:c>
      <x:c r="C30" s="4">
        <x:v>46139.5</x:v>
      </x:c>
      <x:c r="D30" s="3" t="s">
        <x:v>30</x:v>
      </x:c>
      <x:c r="E30" s="3" t="s">
        <x:v>51</x:v>
      </x:c>
      <x:c r="F30" s="3" t="s">
        <x:v>9</x:v>
      </x:c>
      <x:c r="G30" s="9" t="s">
        <x:v>84</x:v>
      </x:c>
      <x:c r="H30" s="9" t="s">
        <x:v>53</x:v>
      </x:c>
      <x:c r="I30" s="9" t="s">
        <x:v>85</x:v>
      </x:c>
      <x:c r="J30" s="9" t="s">
        <x:v>125</x:v>
      </x:c>
    </x:row>
    <x:row r="31" ht="70" customHeight="1">
      <x:c r="A31" s="9" t="s">
        <x:v>126</x:v>
      </x:c>
      <x:c r="B31" s="3" t="s">
        <x:v>83</x:v>
      </x:c>
      <x:c r="C31" s="4">
        <x:v>46314.5</x:v>
      </x:c>
      <x:c r="D31" s="3" t="s">
        <x:v>31</x:v>
      </x:c>
      <x:c r="E31" s="3" t="s">
        <x:v>51</x:v>
      </x:c>
      <x:c r="F31" s="3" t="s">
        <x:v>6</x:v>
      </x:c>
      <x:c r="G31" s="9" t="s">
        <x:v>127</x:v>
      </x:c>
      <x:c r="H31" s="9" t="s">
        <x:v>128</x:v>
      </x:c>
      <x:c r="I31" s="9" t="s">
        <x:v>85</x:v>
      </x:c>
      <x:c r="J31" s="9" t="s">
        <x:v>129</x:v>
      </x:c>
    </x:row>
    <x:row r="32" ht="70" customHeight="1">
      <x:c r="A32" s="9" t="s">
        <x:v>130</x:v>
      </x:c>
      <x:c r="B32" s="3" t="s">
        <x:v>83</x:v>
      </x:c>
      <x:c r="C32" s="4">
        <x:v>46314.5</x:v>
      </x:c>
      <x:c r="D32" s="3" t="s">
        <x:v>31</x:v>
      </x:c>
      <x:c r="E32" s="3" t="s">
        <x:v>51</x:v>
      </x:c>
      <x:c r="F32" s="3" t="s">
        <x:v>9</x:v>
      </x:c>
      <x:c r="G32" s="9" t="s">
        <x:v>127</x:v>
      </x:c>
      <x:c r="H32" s="9" t="s">
        <x:v>128</x:v>
      </x:c>
      <x:c r="I32" s="9" t="s">
        <x:v>85</x:v>
      </x:c>
      <x:c r="J32" s="9" t="s">
        <x:v>131</x:v>
      </x:c>
    </x:row>
    <x:row r="33" ht="70" customHeight="1">
      <x:c r="A33" s="9" t="s">
        <x:v>132</x:v>
      </x:c>
      <x:c r="B33" s="3" t="s">
        <x:v>83</x:v>
      </x:c>
      <x:c r="C33" s="4">
        <x:v>46314.5</x:v>
      </x:c>
      <x:c r="D33" s="3" t="s">
        <x:v>31</x:v>
      </x:c>
      <x:c r="E33" s="3" t="s">
        <x:v>51</x:v>
      </x:c>
      <x:c r="F33" s="3" t="s">
        <x:v>9</x:v>
      </x:c>
      <x:c r="G33" s="9" t="s">
        <x:v>127</x:v>
      </x:c>
      <x:c r="H33" s="9" t="s">
        <x:v>128</x:v>
      </x:c>
      <x:c r="I33" s="9" t="s">
        <x:v>85</x:v>
      </x:c>
      <x:c r="J33" s="9" t="s">
        <x:v>133</x:v>
      </x:c>
    </x:row>
    <x:row r="34" ht="70" customHeight="1">
      <x:c r="A34" s="9" t="s">
        <x:v>134</x:v>
      </x:c>
      <x:c r="B34" s="3" t="s">
        <x:v>83</x:v>
      </x:c>
      <x:c r="C34" s="4">
        <x:v>46314.5</x:v>
      </x:c>
      <x:c r="D34" s="3" t="s">
        <x:v>31</x:v>
      </x:c>
      <x:c r="E34" s="3" t="s">
        <x:v>96</x:v>
      </x:c>
      <x:c r="F34" s="3" t="s">
        <x:v>11</x:v>
      </x:c>
      <x:c r="G34" s="9" t="s">
        <x:v>135</x:v>
      </x:c>
      <x:c r="H34" s="9" t="s">
        <x:v>128</x:v>
      </x:c>
      <x:c r="I34" s="9" t="s">
        <x:v>85</x:v>
      </x:c>
      <x:c r="J34" s="9" t="s">
        <x:v>136</x:v>
      </x:c>
    </x:row>
    <x:row r="35" ht="70" customHeight="1">
      <x:c r="A35" s="9" t="s">
        <x:v>137</x:v>
      </x:c>
      <x:c r="B35" s="3" t="s">
        <x:v>83</x:v>
      </x:c>
      <x:c r="C35" s="4">
        <x:v>46314.5</x:v>
      </x:c>
      <x:c r="D35" s="3" t="s">
        <x:v>31</x:v>
      </x:c>
      <x:c r="E35" s="3" t="s">
        <x:v>51</x:v>
      </x:c>
      <x:c r="F35" s="3" t="s">
        <x:v>11</x:v>
      </x:c>
      <x:c r="G35" s="9" t="s">
        <x:v>127</x:v>
      </x:c>
      <x:c r="H35" s="9" t="s">
        <x:v>128</x:v>
      </x:c>
      <x:c r="I35" s="9" t="s">
        <x:v>85</x:v>
      </x:c>
      <x:c r="J35" s="9" t="s">
        <x:v>138</x:v>
      </x:c>
    </x:row>
    <x:row r="36" ht="70" customHeight="1">
      <x:c r="A36" s="9" t="s">
        <x:v>139</x:v>
      </x:c>
      <x:c r="B36" s="3" t="s">
        <x:v>83</x:v>
      </x:c>
      <x:c r="C36" s="4">
        <x:v>46314.5</x:v>
      </x:c>
      <x:c r="D36" s="3" t="s">
        <x:v>31</x:v>
      </x:c>
      <x:c r="E36" s="3" t="s">
        <x:v>51</x:v>
      </x:c>
      <x:c r="F36" s="3" t="s">
        <x:v>11</x:v>
      </x:c>
      <x:c r="G36" s="9" t="s">
        <x:v>127</x:v>
      </x:c>
      <x:c r="H36" s="9" t="s">
        <x:v>128</x:v>
      </x:c>
      <x:c r="I36" s="9" t="s">
        <x:v>85</x:v>
      </x:c>
      <x:c r="J36" s="9" t="s">
        <x:v>140</x:v>
      </x:c>
    </x:row>
    <x:row r="37" ht="70" customHeight="1">
      <x:c r="A37" s="9" t="s">
        <x:v>141</x:v>
      </x:c>
      <x:c r="B37" s="3" t="s">
        <x:v>83</x:v>
      </x:c>
      <x:c r="C37" s="4">
        <x:v>46315.5</x:v>
      </x:c>
      <x:c r="D37" s="3" t="s">
        <x:v>33</x:v>
      </x:c>
      <x:c r="E37" s="3" t="s">
        <x:v>51</x:v>
      </x:c>
      <x:c r="F37" s="3" t="s">
        <x:v>9</x:v>
      </x:c>
      <x:c r="G37" s="9" t="s">
        <x:v>127</x:v>
      </x:c>
      <x:c r="H37" s="9" t="s">
        <x:v>142</x:v>
      </x:c>
      <x:c r="I37" s="9" t="s">
        <x:v>85</x:v>
      </x:c>
      <x:c r="J37" s="9" t="s">
        <x:v>143</x:v>
      </x:c>
    </x:row>
    <x:row r="38" ht="70" customHeight="1">
      <x:c r="A38" s="9" t="s">
        <x:v>144</x:v>
      </x:c>
      <x:c r="B38" s="3" t="s">
        <x:v>83</x:v>
      </x:c>
      <x:c r="C38" s="4">
        <x:v>46315.5</x:v>
      </x:c>
      <x:c r="D38" s="3" t="s">
        <x:v>33</x:v>
      </x:c>
      <x:c r="E38" s="3" t="s">
        <x:v>51</x:v>
      </x:c>
      <x:c r="F38" s="3" t="s">
        <x:v>11</x:v>
      </x:c>
      <x:c r="G38" s="9" t="s">
        <x:v>127</x:v>
      </x:c>
      <x:c r="H38" s="9" t="s">
        <x:v>142</x:v>
      </x:c>
      <x:c r="I38" s="9" t="s">
        <x:v>85</x:v>
      </x:c>
      <x:c r="J38" s="9" t="s">
        <x:v>145</x:v>
      </x:c>
    </x:row>
    <x:row r="39" ht="70" customHeight="1">
      <x:c r="A39" s="9" t="s">
        <x:v>146</x:v>
      </x:c>
      <x:c r="B39" s="3" t="s">
        <x:v>83</x:v>
      </x:c>
      <x:c r="C39" s="4">
        <x:v>46315.5</x:v>
      </x:c>
      <x:c r="D39" s="3" t="s">
        <x:v>33</x:v>
      </x:c>
      <x:c r="E39" s="3" t="s">
        <x:v>51</x:v>
      </x:c>
      <x:c r="F39" s="3" t="s">
        <x:v>11</x:v>
      </x:c>
      <x:c r="G39" s="9" t="s">
        <x:v>127</x:v>
      </x:c>
      <x:c r="H39" s="9" t="s">
        <x:v>142</x:v>
      </x:c>
      <x:c r="I39" s="9" t="s">
        <x:v>85</x:v>
      </x:c>
      <x:c r="J39" s="9" t="s">
        <x:v>147</x:v>
      </x:c>
    </x:row>
    <x:row r="40" ht="70" customHeight="1">
      <x:c r="A40" s="9" t="s">
        <x:v>148</x:v>
      </x:c>
      <x:c r="B40" s="3" t="s">
        <x:v>83</x:v>
      </x:c>
      <x:c r="C40" s="4">
        <x:v>46315.5</x:v>
      </x:c>
      <x:c r="D40" s="3" t="s">
        <x:v>34</x:v>
      </x:c>
      <x:c r="E40" s="3" t="s">
        <x:v>96</x:v>
      </x:c>
      <x:c r="F40" s="3" t="s">
        <x:v>6</x:v>
      </x:c>
      <x:c r="G40" s="9" t="s">
        <x:v>97</x:v>
      </x:c>
      <x:c r="H40" s="9" t="s">
        <x:v>142</x:v>
      </x:c>
      <x:c r="I40" s="9" t="s">
        <x:v>85</x:v>
      </x:c>
      <x:c r="J40" s="9" t="s">
        <x:v>149</x:v>
      </x:c>
    </x:row>
    <x:row r="41" ht="70" customHeight="1">
      <x:c r="A41" s="9" t="s">
        <x:v>150</x:v>
      </x:c>
      <x:c r="B41" s="3" t="s">
        <x:v>83</x:v>
      </x:c>
      <x:c r="C41" s="4">
        <x:v>46315.5</x:v>
      </x:c>
      <x:c r="D41" s="3" t="s">
        <x:v>34</x:v>
      </x:c>
      <x:c r="E41" s="3" t="s">
        <x:v>51</x:v>
      </x:c>
      <x:c r="F41" s="3" t="s">
        <x:v>4</x:v>
      </x:c>
      <x:c r="G41" s="9" t="s">
        <x:v>127</x:v>
      </x:c>
      <x:c r="H41" s="9" t="s">
        <x:v>142</x:v>
      </x:c>
      <x:c r="I41" s="9" t="s">
        <x:v>85</x:v>
      </x:c>
      <x:c r="J41" s="9" t="s">
        <x:v>151</x:v>
      </x:c>
    </x:row>
    <x:row r="42" ht="70" customHeight="1">
      <x:c r="A42" s="9" t="s">
        <x:v>152</x:v>
      </x:c>
      <x:c r="B42" s="3" t="s">
        <x:v>83</x:v>
      </x:c>
      <x:c r="C42" s="4">
        <x:v>46315.5</x:v>
      </x:c>
      <x:c r="D42" s="3" t="s">
        <x:v>34</x:v>
      </x:c>
      <x:c r="E42" s="3" t="s">
        <x:v>51</x:v>
      </x:c>
      <x:c r="F42" s="3" t="s">
        <x:v>9</x:v>
      </x:c>
      <x:c r="G42" s="9" t="s">
        <x:v>127</x:v>
      </x:c>
      <x:c r="H42" s="9" t="s">
        <x:v>142</x:v>
      </x:c>
      <x:c r="I42" s="9" t="s">
        <x:v>85</x:v>
      </x:c>
      <x:c r="J42" s="9" t="s">
        <x:v>153</x:v>
      </x:c>
    </x:row>
    <x:row r="43" ht="70" customHeight="1">
      <x:c r="A43" s="9" t="s">
        <x:v>154</x:v>
      </x:c>
      <x:c r="B43" s="3" t="s">
        <x:v>83</x:v>
      </x:c>
      <x:c r="C43" s="4">
        <x:v>46315.5</x:v>
      </x:c>
      <x:c r="D43" s="3" t="s">
        <x:v>34</x:v>
      </x:c>
      <x:c r="E43" s="3" t="s">
        <x:v>51</x:v>
      </x:c>
      <x:c r="F43" s="3" t="s">
        <x:v>11</x:v>
      </x:c>
      <x:c r="G43" s="9" t="s">
        <x:v>127</x:v>
      </x:c>
      <x:c r="H43" s="9" t="s">
        <x:v>142</x:v>
      </x:c>
      <x:c r="I43" s="9" t="s">
        <x:v>85</x:v>
      </x:c>
      <x:c r="J43" s="9" t="s">
        <x:v>155</x:v>
      </x:c>
    </x:row>
    <x:row r="44" ht="70" customHeight="1">
      <x:c r="A44" s="9" t="s">
        <x:v>156</x:v>
      </x:c>
      <x:c r="B44" s="3" t="s">
        <x:v>83</x:v>
      </x:c>
      <x:c r="C44" s="4">
        <x:v>46315.5</x:v>
      </x:c>
      <x:c r="D44" s="3" t="s">
        <x:v>33</x:v>
      </x:c>
      <x:c r="E44" s="3" t="s">
        <x:v>51</x:v>
      </x:c>
      <x:c r="F44" s="3" t="s">
        <x:v>6</x:v>
      </x:c>
      <x:c r="G44" s="9" t="s">
        <x:v>127</x:v>
      </x:c>
      <x:c r="H44" s="9" t="s">
        <x:v>142</x:v>
      </x:c>
      <x:c r="I44" s="9" t="s">
        <x:v>85</x:v>
      </x:c>
      <x:c r="J44" s="9" t="s">
        <x:v>157</x:v>
      </x:c>
    </x:row>
    <x:row r="45" ht="70" customHeight="1">
      <x:c r="A45" s="9" t="s">
        <x:v>158</x:v>
      </x:c>
      <x:c r="B45" s="3" t="s">
        <x:v>83</x:v>
      </x:c>
      <x:c r="C45" s="4">
        <x:v>46315.5</x:v>
      </x:c>
      <x:c r="D45" s="3" t="s">
        <x:v>33</x:v>
      </x:c>
      <x:c r="E45" s="3" t="s">
        <x:v>96</x:v>
      </x:c>
      <x:c r="F45" s="3" t="s">
        <x:v>6</x:v>
      </x:c>
      <x:c r="G45" s="9" t="s">
        <x:v>159</x:v>
      </x:c>
      <x:c r="H45" s="9" t="s">
        <x:v>142</x:v>
      </x:c>
      <x:c r="I45" s="9" t="s">
        <x:v>85</x:v>
      </x:c>
      <x:c r="J45" s="9" t="s">
        <x:v>160</x:v>
      </x:c>
    </x:row>
    <x:row r="46" ht="70" customHeight="1">
      <x:c r="A46" s="9" t="s">
        <x:v>161</x:v>
      </x:c>
      <x:c r="B46" s="3" t="s">
        <x:v>83</x:v>
      </x:c>
      <x:c r="C46" s="4">
        <x:v>46315.5</x:v>
      </x:c>
      <x:c r="D46" s="3" t="s">
        <x:v>33</x:v>
      </x:c>
      <x:c r="E46" s="3" t="s">
        <x:v>51</x:v>
      </x:c>
      <x:c r="F46" s="3" t="s">
        <x:v>4</x:v>
      </x:c>
      <x:c r="G46" s="9" t="s">
        <x:v>127</x:v>
      </x:c>
      <x:c r="H46" s="9" t="s">
        <x:v>142</x:v>
      </x:c>
      <x:c r="I46" s="9" t="s">
        <x:v>85</x:v>
      </x:c>
      <x:c r="J46" s="9" t="s">
        <x:v>162</x:v>
      </x:c>
    </x:row>
    <x:row r="47" ht="70" customHeight="1">
      <x:c r="A47" s="9" t="s">
        <x:v>163</x:v>
      </x:c>
      <x:c r="B47" s="3" t="s">
        <x:v>83</x:v>
      </x:c>
      <x:c r="C47" s="4">
        <x:v>46319.5</x:v>
      </x:c>
      <x:c r="D47" s="3" t="s">
        <x:v>35</x:v>
      </x:c>
      <x:c r="E47" s="3" t="s">
        <x:v>96</x:v>
      </x:c>
      <x:c r="F47" s="3" t="s">
        <x:v>6</x:v>
      </x:c>
      <x:c r="G47" s="9" t="s">
        <x:v>164</x:v>
      </x:c>
      <x:c r="H47" s="9" t="s">
        <x:v>128</x:v>
      </x:c>
      <x:c r="I47" s="9" t="s">
        <x:v>85</x:v>
      </x:c>
      <x:c r="J47" s="9" t="s">
        <x:v>165</x:v>
      </x:c>
    </x:row>
    <x:row r="48" ht="70" customHeight="1">
      <x:c r="A48" s="9" t="s">
        <x:v>166</x:v>
      </x:c>
      <x:c r="B48" s="3" t="s">
        <x:v>83</x:v>
      </x:c>
      <x:c r="C48" s="4">
        <x:v>46319.5</x:v>
      </x:c>
      <x:c r="D48" s="3" t="s">
        <x:v>35</x:v>
      </x:c>
      <x:c r="E48" s="3" t="s">
        <x:v>51</x:v>
      </x:c>
      <x:c r="F48" s="3" t="s">
        <x:v>6</x:v>
      </x:c>
      <x:c r="G48" s="9" t="s">
        <x:v>127</x:v>
      </x:c>
      <x:c r="H48" s="9" t="s">
        <x:v>128</x:v>
      </x:c>
      <x:c r="I48" s="9" t="s">
        <x:v>85</x:v>
      </x:c>
      <x:c r="J48" s="9" t="s">
        <x:v>167</x:v>
      </x:c>
    </x:row>
    <x:row r="49" ht="70" customHeight="1">
      <x:c r="A49" s="9" t="s">
        <x:v>168</x:v>
      </x:c>
      <x:c r="B49" s="3" t="s">
        <x:v>83</x:v>
      </x:c>
      <x:c r="C49" s="4">
        <x:v>46319.5</x:v>
      </x:c>
      <x:c r="D49" s="3" t="s">
        <x:v>35</x:v>
      </x:c>
      <x:c r="E49" s="3" t="s">
        <x:v>51</x:v>
      </x:c>
      <x:c r="F49" s="3" t="s">
        <x:v>9</x:v>
      </x:c>
      <x:c r="G49" s="9" t="s">
        <x:v>127</x:v>
      </x:c>
      <x:c r="H49" s="9" t="s">
        <x:v>128</x:v>
      </x:c>
      <x:c r="I49" s="9" t="s">
        <x:v>85</x:v>
      </x:c>
      <x:c r="J49" s="9" t="s">
        <x:v>169</x:v>
      </x:c>
    </x:row>
    <x:row r="50" ht="70" customHeight="1">
      <x:c r="A50" s="9" t="s">
        <x:v>170</x:v>
      </x:c>
      <x:c r="B50" s="3" t="s">
        <x:v>83</x:v>
      </x:c>
      <x:c r="C50" s="4">
        <x:v>46319.5</x:v>
      </x:c>
      <x:c r="D50" s="3" t="s">
        <x:v>35</x:v>
      </x:c>
      <x:c r="E50" s="3" t="s">
        <x:v>51</x:v>
      </x:c>
      <x:c r="F50" s="3" t="s">
        <x:v>9</x:v>
      </x:c>
      <x:c r="G50" s="9" t="s">
        <x:v>127</x:v>
      </x:c>
      <x:c r="H50" s="9" t="s">
        <x:v>128</x:v>
      </x:c>
      <x:c r="I50" s="9" t="s">
        <x:v>85</x:v>
      </x:c>
      <x:c r="J50" s="9" t="s">
        <x:v>171</x:v>
      </x:c>
    </x:row>
    <x:row r="51" ht="70" customHeight="1">
      <x:c r="A51" s="9" t="s">
        <x:v>172</x:v>
      </x:c>
      <x:c r="B51" s="3" t="s">
        <x:v>83</x:v>
      </x:c>
      <x:c r="C51" s="4">
        <x:v>46319.5</x:v>
      </x:c>
      <x:c r="D51" s="3" t="s">
        <x:v>35</x:v>
      </x:c>
      <x:c r="E51" s="3" t="s">
        <x:v>51</x:v>
      </x:c>
      <x:c r="F51" s="3" t="s">
        <x:v>10</x:v>
      </x:c>
      <x:c r="G51" s="9" t="s">
        <x:v>127</x:v>
      </x:c>
      <x:c r="H51" s="9" t="s">
        <x:v>128</x:v>
      </x:c>
      <x:c r="I51" s="9" t="s">
        <x:v>85</x:v>
      </x:c>
      <x:c r="J51" s="9" t="s">
        <x:v>173</x:v>
      </x:c>
    </x:row>
    <x:row r="52" ht="70" customHeight="1">
      <x:c r="A52" s="9" t="s">
        <x:v>174</x:v>
      </x:c>
      <x:c r="B52" s="3" t="s">
        <x:v>83</x:v>
      </x:c>
      <x:c r="C52" s="4">
        <x:v>46319.5</x:v>
      </x:c>
      <x:c r="D52" s="3" t="s">
        <x:v>35</x:v>
      </x:c>
      <x:c r="E52" s="3" t="s">
        <x:v>51</x:v>
      </x:c>
      <x:c r="F52" s="3" t="s">
        <x:v>11</x:v>
      </x:c>
      <x:c r="G52" s="9" t="s">
        <x:v>127</x:v>
      </x:c>
      <x:c r="H52" s="9" t="s">
        <x:v>128</x:v>
      </x:c>
      <x:c r="I52" s="9" t="s">
        <x:v>85</x:v>
      </x:c>
      <x:c r="J52" s="9" t="s">
        <x:v>175</x:v>
      </x:c>
    </x:row>
    <x:row r="53" ht="70" customHeight="1">
      <x:c r="A53" s="9" t="s">
        <x:v>176</x:v>
      </x:c>
      <x:c r="B53" s="3" t="s">
        <x:v>83</x:v>
      </x:c>
      <x:c r="C53" s="4">
        <x:v>46319.5</x:v>
      </x:c>
      <x:c r="D53" s="3" t="s">
        <x:v>35</x:v>
      </x:c>
      <x:c r="E53" s="3" t="s">
        <x:v>51</x:v>
      </x:c>
      <x:c r="F53" s="3" t="s">
        <x:v>11</x:v>
      </x:c>
      <x:c r="G53" s="9" t="s">
        <x:v>127</x:v>
      </x:c>
      <x:c r="H53" s="9" t="s">
        <x:v>128</x:v>
      </x:c>
      <x:c r="I53" s="9" t="s">
        <x:v>85</x:v>
      </x:c>
      <x:c r="J53" s="9" t="s">
        <x:v>177</x:v>
      </x:c>
    </x:row>
    <x:row r="54" ht="70" customHeight="1">
      <x:c r="A54" s="9" t="str">
        <x:v>20260429-1_ves041_heat_80mm</x:v>
      </x:c>
      <x:c r="B54" s="3" t="str">
        <x:v>VES041</x:v>
      </x:c>
      <x:c r="C54" s="4" t="n">
        <x:v>46141.5</x:v>
      </x:c>
      <x:c r="D54" s="3" t="str"/>
      <x:c r="E54" s="3" t="str">
        <x:v>Unreviewed</x:v>
      </x:c>
      <x:c r="F54" s="3" t="str">
        <x:v>Heat barrier</x:v>
      </x:c>
      <x:c r="G54" s="9" t="str">
        <x:v>Unreviewed; added for heat analysis</x:v>
      </x:c>
      <x:c r="H54" s="9" t="str">
        <x:v>Unassigned; fly identity absent</x:v>
      </x:c>
      <x:c r="I54" s="9" t="str">
        <x:v>/Users/sophiarenauld/Documents/GitHub/Wilson_Thesis/Imaging_analysis/reports/pizza_ves041_heat_cohort.csv</x:v>
      </x:c>
      <x:c r="J54" s="9" t="str">
        <x:v>/Users/sophiarenauld/stacks/20260429-1_ves041_heat_80mm</x:v>
      </x:c>
    </x:row>
    <x:row r="55" ht="70" customHeight="1">
      <x:c r="A55" s="9" t="str">
        <x:v>20260427-2_ves041_fly2_heat</x:v>
      </x:c>
      <x:c r="B55" s="3" t="str">
        <x:v>VES041</x:v>
      </x:c>
      <x:c r="C55" s="4" t="n">
        <x:v>46139.5</x:v>
      </x:c>
      <x:c r="D55" s="3" t="str">
        <x:v>VES041_20260427_F2</x:v>
      </x:c>
      <x:c r="E55" s="3" t="str">
        <x:v>Unreviewed</x:v>
      </x:c>
      <x:c r="F55" s="3" t="str">
        <x:v>Heat barrier</x:v>
      </x:c>
      <x:c r="G55" s="9" t="str">
        <x:v>Unreviewed; added for heat analysis</x:v>
      </x:c>
      <x:c r="H55" s="9" t="str">
        <x:v>Explicit fly number in folder</x:v>
      </x:c>
      <x:c r="I55" s="9" t="str">
        <x:v>/Users/sophiarenauld/Documents/GitHub/Wilson_Thesis/Imaging_analysis/reports/pizza_ves041_heat_cohort.csv</x:v>
      </x:c>
      <x:c r="J55" s="9" t="str">
        <x:v>/Users/sophiarenauld/stacks/20260427-2_ves041_fly2_heat</x:v>
      </x:c>
    </x:row>
    <x:row r="56" ht="70" customHeight="1">
      <x:c r="A56" s="9" t="str">
        <x:v>20260427-8_ves041_fly3_heat_80mm_otherside_L</x:v>
      </x:c>
      <x:c r="B56" s="3" t="str">
        <x:v>VES041</x:v>
      </x:c>
      <x:c r="C56" s="4" t="n">
        <x:v>46139.5</x:v>
      </x:c>
      <x:c r="D56" s="3" t="str">
        <x:v>VES041_20260427_F3</x:v>
      </x:c>
      <x:c r="E56" s="3" t="str">
        <x:v>Unreviewed</x:v>
      </x:c>
      <x:c r="F56" s="3" t="str">
        <x:v>Heat barrier</x:v>
      </x:c>
      <x:c r="G56" s="9" t="str">
        <x:v>Unreviewed; added for heat analysis</x:v>
      </x:c>
      <x:c r="H56" s="9" t="str">
        <x:v>Explicit fly number in folder</x:v>
      </x:c>
      <x:c r="I56" s="9" t="str">
        <x:v>/Users/sophiarenauld/Documents/GitHub/Wilson_Thesis/Imaging_analysis/reports/pizza_ves041_heat_cohort.csv</x:v>
      </x:c>
      <x:c r="J56" s="9" t="str">
        <x:v>/Users/sophiarenauld/stacks/20260427-8_ves041_fly3_heat_80mm_otherside_L</x:v>
      </x:c>
    </x:row>
    <x:row r="57" ht="70" customHeight="1">
      <x:c r="A57" s="9" t="str">
        <x:v>20260427-5_ves041_fly2_heat_20mmbarrier_3</x:v>
      </x:c>
      <x:c r="B57" s="3" t="str">
        <x:v>VES041</x:v>
      </x:c>
      <x:c r="C57" s="4" t="n">
        <x:v>46139.5</x:v>
      </x:c>
      <x:c r="D57" s="3" t="str">
        <x:v>VES041_20260427_F2</x:v>
      </x:c>
      <x:c r="E57" s="3" t="str">
        <x:v>Unreviewed</x:v>
      </x:c>
      <x:c r="F57" s="3" t="str">
        <x:v>Heat barrier</x:v>
      </x:c>
      <x:c r="G57" s="9" t="str">
        <x:v>Unreviewed; added for heat analysis</x:v>
      </x:c>
      <x:c r="H57" s="9" t="str">
        <x:v>Explicit fly number in folder</x:v>
      </x:c>
      <x:c r="I57" s="9" t="str">
        <x:v>/Users/sophiarenauld/Documents/GitHub/Wilson_Thesis/Imaging_analysis/reports/pizza_ves041_heat_cohort.csv</x:v>
      </x:c>
      <x:c r="J57" s="9" t="str">
        <x:v>/Users/sophiarenauld/stacks/20260427-5_ves041_fly2_heat_20mmbarrier_3</x:v>
      </x:c>
    </x:row>
    <x:row r="58" ht="70" customHeight="1">
      <x:c r="A58" s="9" t="str">
        <x:v>20260424-2_ves041_heat</x:v>
      </x:c>
      <x:c r="B58" s="3" t="str">
        <x:v>VES041</x:v>
      </x:c>
      <x:c r="C58" s="4" t="n">
        <x:v>46136.5</x:v>
      </x:c>
      <x:c r="D58" s="3" t="str"/>
      <x:c r="E58" s="3" t="str">
        <x:v>Unreviewed</x:v>
      </x:c>
      <x:c r="F58" s="3" t="str">
        <x:v>Heat barrier</x:v>
      </x:c>
      <x:c r="G58" s="9" t="str">
        <x:v>Unreviewed; awaiting ROI extraction</x:v>
      </x:c>
      <x:c r="H58" s="9" t="str">
        <x:v>Unassigned; fly identity absent</x:v>
      </x:c>
      <x:c r="I58" s="9" t="str">
        <x:v>/Users/sophiarenauld/Documents/GitHub/Wilson_Thesis/Imaging_analysis/reports/pizza_ves041_heat_cohort.csv</x:v>
      </x:c>
      <x:c r="J58" s="9" t="str">
        <x:v>/Users/sophiarenauld/stacks/20260424-2_ves041_heat</x:v>
      </x:c>
    </x:row>
    <x:row r="59" ht="70" customHeight="1">
      <x:c r="A59" s="9" t="str">
        <x:v>20260427-4_ves041_fly2_heat_20mmbarrier_2</x:v>
      </x:c>
      <x:c r="B59" s="3" t="str">
        <x:v>VES041</x:v>
      </x:c>
      <x:c r="C59" s="4" t="n">
        <x:v>46139.5</x:v>
      </x:c>
      <x:c r="D59" s="3" t="str">
        <x:v>VES041_20260427_F2</x:v>
      </x:c>
      <x:c r="E59" s="3" t="str">
        <x:v>Unreviewed</x:v>
      </x:c>
      <x:c r="F59" s="3" t="str">
        <x:v>Heat barrier</x:v>
      </x:c>
      <x:c r="G59" s="9" t="str">
        <x:v>Unreviewed; added for heat analysis</x:v>
      </x:c>
      <x:c r="H59" s="9" t="str">
        <x:v>Explicit fly number in folder</x:v>
      </x:c>
      <x:c r="I59" s="9" t="str">
        <x:v>/Users/sophiarenauld/Documents/GitHub/Wilson_Thesis/Imaging_analysis/reports/pizza_ves041_heat_cohort.csv</x:v>
      </x:c>
      <x:c r="J59" s="9" t="str">
        <x:v>/Users/sophiarenauld/stacks/20260427-4_ves041_fly2_heat_20mmbarrier_2</x:v>
      </x:c>
    </x:row>
  </x:sheetData>
  <x:conditionalFormatting sqref="E2:E53">
    <x:cfRule type="cellIs" dxfId="1" priority="1" operator="equal">
      <x:formula>"N"</x:formula>
    </x:cfRule>
    <x:cfRule type="cellIs" dxfId="0" priority="2" operator="equal">
      <x:formula>"Unreviewed"</x:formula>
    </x:cfRule>
  </x:conditionalFormatting>
  <x:dataValidations count="2">
    <x:dataValidation type="list" sqref="E2:E53">
      <x:formula1>"Y,N,Unreviewed"</x:formula1>
    </x:dataValidation>
    <x:dataValidation type="list" sqref="E54:E59">
      <x:formula1>"Y,N,Unreviewed"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2a63d93d2f844a7"/>
  </x:tableParts>
</x:worksheet>
</file>